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bmfinancegroup-my.sharepoint.com/personal/renan_bmfinancegroup_onmicrosoft_com/Documents/BM Finance Group/CLIENTES ATIVOS/Alves &amp; Bigler - RJ/06. Prestação de Contas/2024/03. Março/03. 12.03.2024 a 20.03.2024 - COBRANÇA/"/>
    </mc:Choice>
  </mc:AlternateContent>
  <xr:revisionPtr revIDLastSave="0" documentId="8_{2D80738D-5D90-458D-8E74-647C68DA58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2" i="1" l="1"/>
  <c r="N131" i="1"/>
  <c r="N130" i="1"/>
  <c r="N128" i="1"/>
  <c r="N125" i="1"/>
  <c r="N118" i="1"/>
  <c r="N116" i="1"/>
  <c r="N107" i="1"/>
  <c r="N103" i="1"/>
  <c r="N100" i="1"/>
  <c r="N92" i="1"/>
  <c r="N90" i="1"/>
  <c r="N89" i="1"/>
  <c r="N77" i="1"/>
  <c r="N69" i="1"/>
  <c r="N64" i="1"/>
  <c r="N61" i="1"/>
  <c r="N51" i="1"/>
  <c r="N50" i="1"/>
  <c r="N45" i="1"/>
  <c r="N37" i="1"/>
  <c r="N36" i="1"/>
  <c r="N26" i="1"/>
  <c r="N21" i="1"/>
  <c r="N20" i="1"/>
  <c r="N19" i="1"/>
  <c r="N17" i="1"/>
  <c r="N16" i="1"/>
  <c r="N13" i="1"/>
  <c r="N133" i="1" l="1"/>
</calcChain>
</file>

<file path=xl/sharedStrings.xml><?xml version="1.0" encoding="utf-8"?>
<sst xmlns="http://schemas.openxmlformats.org/spreadsheetml/2006/main" count="697" uniqueCount="397">
  <si>
    <t xml:space="preserve">REL_DETALHADO_PARCELAS_PERSONALIZADO </t>
  </si>
  <si>
    <t>Período:12/03/2024 a 20/03/2024</t>
  </si>
  <si>
    <t>CARTEIRA</t>
  </si>
  <si>
    <t>CONTRATO</t>
  </si>
  <si>
    <t>NOME</t>
  </si>
  <si>
    <t>FATURA ORIGEM</t>
  </si>
  <si>
    <t>PRINC ORIGEM PARC</t>
  </si>
  <si>
    <t>JUROS</t>
  </si>
  <si>
    <t>MULTA</t>
  </si>
  <si>
    <t>HONORARIO</t>
  </si>
  <si>
    <t>JUROS PAGOS</t>
  </si>
  <si>
    <t>DESPESA</t>
  </si>
  <si>
    <t>CUSTAS</t>
  </si>
  <si>
    <t>DATA PAGAMENTO</t>
  </si>
  <si>
    <t>VALOR PAGO</t>
  </si>
  <si>
    <t>VALOR REPASSE</t>
  </si>
  <si>
    <t>PARCELA PAGA</t>
  </si>
  <si>
    <t>PARCELAS DO ACORDO</t>
  </si>
  <si>
    <t>VALOR ABERTO DO ACORDO</t>
  </si>
  <si>
    <t>DATA ACORDO</t>
  </si>
  <si>
    <t>PERIODO</t>
  </si>
  <si>
    <t>ADRIANÓPOLIS</t>
  </si>
  <si>
    <t>Ataide Valeriano</t>
  </si>
  <si>
    <t>12/03/2024</t>
  </si>
  <si>
    <t>24/10/2023</t>
  </si>
  <si>
    <t>10/11/2022 a 24/10/2023</t>
  </si>
  <si>
    <t>Catia Regina de L Cunha</t>
  </si>
  <si>
    <t>06/03/2024</t>
  </si>
  <si>
    <t>10/12/2023 a 10/12/2023</t>
  </si>
  <si>
    <t>CEF - Caixa Econômica Federal - GRF</t>
  </si>
  <si>
    <t>15/03/2024</t>
  </si>
  <si>
    <t>16/11/2022</t>
  </si>
  <si>
    <t>10/02/2015 a 10/11/2022</t>
  </si>
  <si>
    <t>20/03/2024</t>
  </si>
  <si>
    <t>20/12/2023</t>
  </si>
  <si>
    <t>10/02/2023 a 10/10/2023</t>
  </si>
  <si>
    <t>Marco Antonio Araujo Silva</t>
  </si>
  <si>
    <t>20/02/2024</t>
  </si>
  <si>
    <t>10/11/2023 a 10/12/2023</t>
  </si>
  <si>
    <t>Maria Pereira da Silva</t>
  </si>
  <si>
    <t>08/03/2024</t>
  </si>
  <si>
    <t>09/08/2023 a 10/10/2023</t>
  </si>
  <si>
    <t>Marlene Mathias Sa</t>
  </si>
  <si>
    <t>14/09/2023</t>
  </si>
  <si>
    <t>10/01/2021 a 10/06/2023</t>
  </si>
  <si>
    <t>18/03/2024</t>
  </si>
  <si>
    <t>13/03/2024</t>
  </si>
  <si>
    <t>10/10/2023 a 10/10/2023</t>
  </si>
  <si>
    <t>Odete Regina Severino Prietsch</t>
  </si>
  <si>
    <t>10/10/2023 a 10/12/2023</t>
  </si>
  <si>
    <t>Rosenilton Nunes da Costa</t>
  </si>
  <si>
    <t>10/01/2024 a 10/01/2024</t>
  </si>
  <si>
    <t>AFRÂNIO</t>
  </si>
  <si>
    <t>AP 502</t>
  </si>
  <si>
    <t>Fábio Barros de Souza</t>
  </si>
  <si>
    <t>14/04/2023</t>
  </si>
  <si>
    <t>05/04/2020 a 05/03/2023</t>
  </si>
  <si>
    <t>ALDEIA DE IGUASSU</t>
  </si>
  <si>
    <t>APT. 203</t>
  </si>
  <si>
    <t>Rosimere Vieira Nunes Rocha</t>
  </si>
  <si>
    <t>REF 03/2023 - 30674</t>
  </si>
  <si>
    <t>13/07/2023 a 13/07/2023</t>
  </si>
  <si>
    <t>CASA BELLA</t>
  </si>
  <si>
    <t>AJV EMPREENDIMENTOS IMOBILIARIOS LTDA</t>
  </si>
  <si>
    <t>14/03/2024</t>
  </si>
  <si>
    <t>CASA FORTE</t>
  </si>
  <si>
    <t>AP. 801</t>
  </si>
  <si>
    <t>Cicero Cesar Sotero Batista</t>
  </si>
  <si>
    <t>COELHO DA ROCHA</t>
  </si>
  <si>
    <t>Hiran Athayde de Oliveira</t>
  </si>
  <si>
    <t>24/08/2023</t>
  </si>
  <si>
    <t>10/05/2014 a 10/03/2023</t>
  </si>
  <si>
    <t>DIAMANTINA</t>
  </si>
  <si>
    <t>Sergio Maurício Nunes de Mello</t>
  </si>
  <si>
    <t>18/04/2023</t>
  </si>
  <si>
    <t>15/12/2020 a 15/02/2023</t>
  </si>
  <si>
    <t>DOIS IRMÃOS</t>
  </si>
  <si>
    <t>Claudio José Candido dos Santos</t>
  </si>
  <si>
    <t>17/01/2024</t>
  </si>
  <si>
    <t>10/03/2021 a 10/05/2021</t>
  </si>
  <si>
    <t>Rodrigo Barbosa Pinto</t>
  </si>
  <si>
    <t>19/03/2024</t>
  </si>
  <si>
    <t>EDIFICIO CENTRAL</t>
  </si>
  <si>
    <t>SALA 705</t>
  </si>
  <si>
    <t>Ana Meira Vianna Mattoso</t>
  </si>
  <si>
    <t>SALA 808</t>
  </si>
  <si>
    <t>23/01/2024</t>
  </si>
  <si>
    <t>17/09/2020 a 10/08/2022</t>
  </si>
  <si>
    <t>10/08/2020 a 10/11/2023</t>
  </si>
  <si>
    <t>SALA 704</t>
  </si>
  <si>
    <t>Walkiria Meira Vianna</t>
  </si>
  <si>
    <t>10/10/2022 a 02/06/2023</t>
  </si>
  <si>
    <t>SALA 809</t>
  </si>
  <si>
    <t>10/07/2020 a 10/11/2023</t>
  </si>
  <si>
    <t>EDIFÍCIO DALILA</t>
  </si>
  <si>
    <t>011101</t>
  </si>
  <si>
    <t>Uciel Almeida Pereira</t>
  </si>
  <si>
    <t>07/03/2024</t>
  </si>
  <si>
    <t>10/01/2018 a 10/02/2024</t>
  </si>
  <si>
    <t>FELICIDADE I</t>
  </si>
  <si>
    <t>BL 4 AP 407</t>
  </si>
  <si>
    <t>LEANDERSON MELO DOS SANTOS</t>
  </si>
  <si>
    <t>01/2019</t>
  </si>
  <si>
    <t>30/06/2021</t>
  </si>
  <si>
    <t>10/07/2018 a 10/12/2020</t>
  </si>
  <si>
    <t>GERSON CHERNICHARO</t>
  </si>
  <si>
    <t>MARGARIDAS 76</t>
  </si>
  <si>
    <t>Anderson P. da Silva</t>
  </si>
  <si>
    <t>30/11/2023</t>
  </si>
  <si>
    <t>10/08/2023 a 10/11/2023</t>
  </si>
  <si>
    <t>JASMINS 11</t>
  </si>
  <si>
    <t>Israel Ramos de Almeida</t>
  </si>
  <si>
    <t>10/11/2023 a 10/03/2024</t>
  </si>
  <si>
    <t>GERÂNIOS 45</t>
  </si>
  <si>
    <t>Luciana Simões da Silva Sá Freire</t>
  </si>
  <si>
    <t>08/02/2023</t>
  </si>
  <si>
    <t>10/02/2020 a 10/12/2022</t>
  </si>
  <si>
    <t>PALMAS 75</t>
  </si>
  <si>
    <t>Mathias F. dos Santos</t>
  </si>
  <si>
    <t>19/10/2023</t>
  </si>
  <si>
    <t>10/02/2018 a 10/06/2023</t>
  </si>
  <si>
    <t>CRAVOS 17</t>
  </si>
  <si>
    <t>Nelson Rodrigues Vieira Junior</t>
  </si>
  <si>
    <t>MARGARIDAS 23</t>
  </si>
  <si>
    <t>Patricia S. da Silveira</t>
  </si>
  <si>
    <t>20/06/2023</t>
  </si>
  <si>
    <t>05/09/2007 a 10/01/2020</t>
  </si>
  <si>
    <t>ROSAS 27</t>
  </si>
  <si>
    <t>Sidnei dos Santos</t>
  </si>
  <si>
    <t>GRAMADO</t>
  </si>
  <si>
    <t>02102</t>
  </si>
  <si>
    <t>Erotildes Fernandes Soares do Nascimento</t>
  </si>
  <si>
    <t>10/02/2024 a 10/02/2024</t>
  </si>
  <si>
    <t>09204</t>
  </si>
  <si>
    <t>Francisco de Paula Cardoso Filho</t>
  </si>
  <si>
    <t>01204</t>
  </si>
  <si>
    <t>Maria de Fatima Pereira</t>
  </si>
  <si>
    <t>01102</t>
  </si>
  <si>
    <t>Priscila Souza Daim</t>
  </si>
  <si>
    <t>09/02/2024 a 09/02/2024</t>
  </si>
  <si>
    <t>LE JARDIN PARC</t>
  </si>
  <si>
    <t>B13</t>
  </si>
  <si>
    <t>Elvira Vilela Brum de Macedo</t>
  </si>
  <si>
    <t>01/10/2023 a 01/10/2023</t>
  </si>
  <si>
    <t>LÍDIA MAURÍCIO</t>
  </si>
  <si>
    <t>B2403</t>
  </si>
  <si>
    <t>Rosa Ferreira de Almeida Amaral</t>
  </si>
  <si>
    <t>LUMINA CORPORATE</t>
  </si>
  <si>
    <t>SALA 1705</t>
  </si>
  <si>
    <t>GPM Participações Eireli</t>
  </si>
  <si>
    <t>31/03/2023</t>
  </si>
  <si>
    <t>05/01/2016 a 05/03/2023</t>
  </si>
  <si>
    <t>MEU LAR DQ. CAXIAS</t>
  </si>
  <si>
    <t>05203</t>
  </si>
  <si>
    <t>Cristiane Rodrigues Santos</t>
  </si>
  <si>
    <t>11/05/2023</t>
  </si>
  <si>
    <t>20/05/2022 a 20/03/2023</t>
  </si>
  <si>
    <t>02504</t>
  </si>
  <si>
    <t>Jackson Ellyson Marques Dias</t>
  </si>
  <si>
    <t>13/01/2023</t>
  </si>
  <si>
    <t>20/05/2021 a 20/12/2022</t>
  </si>
  <si>
    <t>06304</t>
  </si>
  <si>
    <t>Janayna Carla de Araujo</t>
  </si>
  <si>
    <t>06/12/2023</t>
  </si>
  <si>
    <t>20/10/2022 a 20/11/2023</t>
  </si>
  <si>
    <t>03202</t>
  </si>
  <si>
    <t>Roberto Martins de Paula</t>
  </si>
  <si>
    <t>07/03/2024 a 07/03/2024</t>
  </si>
  <si>
    <t>NEO NOVA IGUAÇU</t>
  </si>
  <si>
    <t>APT.607</t>
  </si>
  <si>
    <t>Flavio Jose Alves da Silva</t>
  </si>
  <si>
    <t>11/03/2024</t>
  </si>
  <si>
    <t>05/01/2024 a 05/01/2024</t>
  </si>
  <si>
    <t>PARQUE RESIDENCIAL LAFAIETE</t>
  </si>
  <si>
    <t>04803</t>
  </si>
  <si>
    <t>Ana Valéria de F da Costa</t>
  </si>
  <si>
    <t>10/11/2023 a 10/11/2023</t>
  </si>
  <si>
    <t>02703</t>
  </si>
  <si>
    <t>Deise Ramalho de Castro Seixas</t>
  </si>
  <si>
    <t>0.85</t>
  </si>
  <si>
    <t>14/05/2021</t>
  </si>
  <si>
    <t>10/08/2012 a 10/12/2015</t>
  </si>
  <si>
    <t>041004</t>
  </si>
  <si>
    <t>Elisabete S. Teodosio</t>
  </si>
  <si>
    <t>LOJA 07</t>
  </si>
  <si>
    <t>Maria de Fatima C. do Sacramento</t>
  </si>
  <si>
    <t>10/01/2023 a 10/01/2023</t>
  </si>
  <si>
    <t>PORTAL DO SOL</t>
  </si>
  <si>
    <t>Amaro Domingos da Silva</t>
  </si>
  <si>
    <t>15/04/2019 a 15/08/2021</t>
  </si>
  <si>
    <t>Ana Amália Souza de Oliveira Abreu</t>
  </si>
  <si>
    <t>05/02/2024</t>
  </si>
  <si>
    <t>15/05/2023 a 15/01/2024</t>
  </si>
  <si>
    <t>Anderson da Penha Marins</t>
  </si>
  <si>
    <t>15/01/2024 a 15/01/2024</t>
  </si>
  <si>
    <t>Bruno dos Santos Braz</t>
  </si>
  <si>
    <t>01/08/2023</t>
  </si>
  <si>
    <t>15/02/2020 a 15/07/2023</t>
  </si>
  <si>
    <t>Carlos Henrique da Costa Souza Santos</t>
  </si>
  <si>
    <t>10/05/2023</t>
  </si>
  <si>
    <t>15/01/2021 a 15/02/2023</t>
  </si>
  <si>
    <t>Edilza Goncalves de Lima</t>
  </si>
  <si>
    <t>15/02/2024 a 15/02/2024</t>
  </si>
  <si>
    <t>Edson Nunes Damasceno</t>
  </si>
  <si>
    <t>17/07/2023</t>
  </si>
  <si>
    <t>15/10/2019 a 15/07/2023</t>
  </si>
  <si>
    <t>09401</t>
  </si>
  <si>
    <t>Faiane Pereira dos Santos</t>
  </si>
  <si>
    <t>07/03/2023</t>
  </si>
  <si>
    <t>15/02/2020 a 15/02/2023</t>
  </si>
  <si>
    <t>Helio Iésus Figueiredo de Oliveira</t>
  </si>
  <si>
    <t>26/05/2023</t>
  </si>
  <si>
    <t>15/05/2021 a 15/03/2023</t>
  </si>
  <si>
    <t>Hercules Guedes Campos</t>
  </si>
  <si>
    <t>06/10/2023</t>
  </si>
  <si>
    <t>15/01/2021 a 15/04/2023</t>
  </si>
  <si>
    <t>15/12/2023 a 15/12/2023</t>
  </si>
  <si>
    <t>Larissa Cristina de Carvalho Bomfim</t>
  </si>
  <si>
    <t>08/03/2022</t>
  </si>
  <si>
    <t>15/07/2018 a 07/03/2022</t>
  </si>
  <si>
    <t>Maria Perpetuo Socorro da Cruz Alencar</t>
  </si>
  <si>
    <t>13/11/2023</t>
  </si>
  <si>
    <t>15/06/2023 a 15/09/2023</t>
  </si>
  <si>
    <t>Michelle Costa da Silva</t>
  </si>
  <si>
    <t>Tarsio Dutra de Assis</t>
  </si>
  <si>
    <t>PRIMAVERA VILLE</t>
  </si>
  <si>
    <t>07105</t>
  </si>
  <si>
    <t>Ana Georgina Fonseca Carneiro</t>
  </si>
  <si>
    <t>11/09/2023</t>
  </si>
  <si>
    <t>10/08/2017 a 01/03/2018</t>
  </si>
  <si>
    <t>02104</t>
  </si>
  <si>
    <t>Bruno Abreu de Souza</t>
  </si>
  <si>
    <t>05/04/2023</t>
  </si>
  <si>
    <t>10/12/2017 a 10/10/2020</t>
  </si>
  <si>
    <t>Luiz Carlos da S Bruno do Nascimento</t>
  </si>
  <si>
    <t>13/09/2023</t>
  </si>
  <si>
    <t>10/07/2017 a 10/09/2018</t>
  </si>
  <si>
    <t>Luiz Claudio Silva da Cruz</t>
  </si>
  <si>
    <t>11/01/2023</t>
  </si>
  <si>
    <t>20/05/2018 a 20/04/2022</t>
  </si>
  <si>
    <t>RESIDENCIAL CANELA</t>
  </si>
  <si>
    <t>04102</t>
  </si>
  <si>
    <t>Bianca Alvarenga de Assis</t>
  </si>
  <si>
    <t>26/01/2024</t>
  </si>
  <si>
    <t>10/07/2023 a 10/12/2023</t>
  </si>
  <si>
    <t>02204</t>
  </si>
  <si>
    <t>Elizabeth Almeida dos Anjos</t>
  </si>
  <si>
    <t>Jivaldo Lima Pinto</t>
  </si>
  <si>
    <t>Jose Avelino Filho</t>
  </si>
  <si>
    <t>09302</t>
  </si>
  <si>
    <t>Julia dos Santos Garcia</t>
  </si>
  <si>
    <t>Lindalva Medeiros de Almeida</t>
  </si>
  <si>
    <t>11/12/2023</t>
  </si>
  <si>
    <t>10/09/2023 a 10/12/2023</t>
  </si>
  <si>
    <t>08302</t>
  </si>
  <si>
    <t>Marcio Fraga Dos Reis</t>
  </si>
  <si>
    <t>10/01/2024 a 05/06/2024</t>
  </si>
  <si>
    <t>RESIDENCIAL DUQUE DE CAXIAS</t>
  </si>
  <si>
    <t>01104</t>
  </si>
  <si>
    <t>Angelica Santos da Costa</t>
  </si>
  <si>
    <t>05101</t>
  </si>
  <si>
    <t>Antonio Carlos Locatel Nascimento</t>
  </si>
  <si>
    <t>22/02/2024 a 22/02/2024</t>
  </si>
  <si>
    <t>Fundo de Arrendamento Residencial</t>
  </si>
  <si>
    <t>07/11/2023</t>
  </si>
  <si>
    <t>10/07/2017 a 10/08/2023</t>
  </si>
  <si>
    <t>Roberto Moreira de Andrade</t>
  </si>
  <si>
    <t>07/02/2024</t>
  </si>
  <si>
    <t>10/07/2022 a 10/11/2023</t>
  </si>
  <si>
    <t>RIVOLI</t>
  </si>
  <si>
    <t>04412</t>
  </si>
  <si>
    <t>Francisco de A P Rodrigues</t>
  </si>
  <si>
    <t>13/04/2023</t>
  </si>
  <si>
    <t>10/01/2019 a 10/04/2023</t>
  </si>
  <si>
    <t>01105</t>
  </si>
  <si>
    <t>Lilia de Oliveira</t>
  </si>
  <si>
    <t>06/04/2023</t>
  </si>
  <si>
    <t>10/10/2021 a 20/01/2023</t>
  </si>
  <si>
    <t>03405</t>
  </si>
  <si>
    <t>Roberta Mariza Sampaio Jacob</t>
  </si>
  <si>
    <t>12/12/2023</t>
  </si>
  <si>
    <t>10/12/2017 a 10/09/2023</t>
  </si>
  <si>
    <t>ROSA BELMONTE</t>
  </si>
  <si>
    <t>Ângela Maria da Silva</t>
  </si>
  <si>
    <t>24/02/2023</t>
  </si>
  <si>
    <t>10/12/2020 a 10/05/2022</t>
  </si>
  <si>
    <t>10/07/2020 a 10/03/2024</t>
  </si>
  <si>
    <t>02</t>
  </si>
  <si>
    <t>José Roberto Sequeira Barcellos</t>
  </si>
  <si>
    <t>10/12/2023 a 11/06/2024</t>
  </si>
  <si>
    <t>Rogerio Lopes da Silva</t>
  </si>
  <si>
    <t>05/02/2024 a 07/07/2025</t>
  </si>
  <si>
    <t>ROSA SILVESTRE</t>
  </si>
  <si>
    <t>051108</t>
  </si>
  <si>
    <t>Mauro Sergio Lirio</t>
  </si>
  <si>
    <t>ROSSI MAIS PARQUE</t>
  </si>
  <si>
    <t>010406</t>
  </si>
  <si>
    <t>Damiana Lúcia da Silva Santos</t>
  </si>
  <si>
    <t>30/01/2024</t>
  </si>
  <si>
    <t>10/07/2023 a 10/11/2023</t>
  </si>
  <si>
    <t>29/02/2024</t>
  </si>
  <si>
    <t>31/01/2024 a 31/01/2024</t>
  </si>
  <si>
    <t>021002</t>
  </si>
  <si>
    <t>Nicuri Emp. Imobiliários LTDA</t>
  </si>
  <si>
    <t>10/12/2019 a 10/02/2024</t>
  </si>
  <si>
    <t>SAN RAFAEL</t>
  </si>
  <si>
    <t>Alex Rodrigues Sabatini</t>
  </si>
  <si>
    <t>Cirio Madruga Felix</t>
  </si>
  <si>
    <t>27/01/2023</t>
  </si>
  <si>
    <t>10/03/2018 a 10/12/2022</t>
  </si>
  <si>
    <t>Daiane Cristina da Silva</t>
  </si>
  <si>
    <t>Daniel Stumpf da Rocha</t>
  </si>
  <si>
    <t>08/02/2024</t>
  </si>
  <si>
    <t>10/09/2016 a 10/10/2023</t>
  </si>
  <si>
    <t>Dayna Brandão Santos</t>
  </si>
  <si>
    <t>Fabiola de Jesus Antonio</t>
  </si>
  <si>
    <t>09/01/2024</t>
  </si>
  <si>
    <t>10/02/2020 a 10/11/2023</t>
  </si>
  <si>
    <t>Fabricio Silva Soares</t>
  </si>
  <si>
    <t>15/04/2023 a 15/09/2023</t>
  </si>
  <si>
    <t>SOLAR DOS LARANJAIS</t>
  </si>
  <si>
    <t>02503</t>
  </si>
  <si>
    <t>Adaci Pimentel dos Santos</t>
  </si>
  <si>
    <t>10/04/2023</t>
  </si>
  <si>
    <t>05/04/2021 a 05/03/2023</t>
  </si>
  <si>
    <t>TOMAZ FONSECA</t>
  </si>
  <si>
    <t>C109</t>
  </si>
  <si>
    <t>Anderson Ferreira da Silva</t>
  </si>
  <si>
    <t>19/02/2024 a 19/02/2024</t>
  </si>
  <si>
    <t>TOP COMMERCE</t>
  </si>
  <si>
    <t>SALA 1124</t>
  </si>
  <si>
    <t>Mario Gomes Ferreira Junior</t>
  </si>
  <si>
    <t>10/08/2023 a 10/08/2023</t>
  </si>
  <si>
    <t>VENEZA</t>
  </si>
  <si>
    <t>06206</t>
  </si>
  <si>
    <t>Almir Gomes Soares</t>
  </si>
  <si>
    <t>05308</t>
  </si>
  <si>
    <t>Livia Santos da Silva</t>
  </si>
  <si>
    <t>06405</t>
  </si>
  <si>
    <t>Maria dos Anjos Perirar da Silva</t>
  </si>
  <si>
    <t>13/12/2023</t>
  </si>
  <si>
    <t>10/06/2022 a 10/09/2023</t>
  </si>
  <si>
    <t>10/01/2024 a 10/03/2024</t>
  </si>
  <si>
    <t>01403</t>
  </si>
  <si>
    <t>Renata Paulo Gomes Correia</t>
  </si>
  <si>
    <t>10/10/2020 a 10/09/2023</t>
  </si>
  <si>
    <t>06401</t>
  </si>
  <si>
    <t>Vania Maria Duarte Correia</t>
  </si>
  <si>
    <t>VILLAGE DAS MANGUEIRAS</t>
  </si>
  <si>
    <t>Ari Duarte da Silva</t>
  </si>
  <si>
    <t>28/09/2021</t>
  </si>
  <si>
    <t>10/03/2018 a 10/01/2021</t>
  </si>
  <si>
    <t>Celia Maria Ribeiro</t>
  </si>
  <si>
    <t>10/11/2023 a 10/01/2024</t>
  </si>
  <si>
    <t>Margareth Felix dos Santos</t>
  </si>
  <si>
    <t>12/08/2022</t>
  </si>
  <si>
    <t>10/04/2007 a 10/12/2020</t>
  </si>
  <si>
    <t>Pedro Cassiano de Oliveira Neto</t>
  </si>
  <si>
    <t>10/10/2021 a 10/11/2023</t>
  </si>
  <si>
    <t>Renan Louzada Ribeiro</t>
  </si>
  <si>
    <t>15/01/2024</t>
  </si>
  <si>
    <t>10/06/2019 a 10/09/2020</t>
  </si>
  <si>
    <t>Sandoval Sabino de Oliveira</t>
  </si>
  <si>
    <t>10/01/2010 a 10/01/2019</t>
  </si>
  <si>
    <t>VILLAGE DOS ROUXINOIS</t>
  </si>
  <si>
    <t>Gilberto Barbosa Lack</t>
  </si>
  <si>
    <t>12/01/2024 a 12/01/2024</t>
  </si>
  <si>
    <t>Janaina da Conceição Silva</t>
  </si>
  <si>
    <t>ACORDOJUDICIAL</t>
  </si>
  <si>
    <t>25/10/2021</t>
  </si>
  <si>
    <t>22/10/2021 a 22/10/2021</t>
  </si>
  <si>
    <t>VITÓRIA RÉGIA NI</t>
  </si>
  <si>
    <t>Jorge Marques Lins Filho</t>
  </si>
  <si>
    <t>15/12/2018 a 10/10/2021</t>
  </si>
  <si>
    <t>04203</t>
  </si>
  <si>
    <t>Jose Carlos bl 04 ap 203</t>
  </si>
  <si>
    <t>27/10/2021</t>
  </si>
  <si>
    <t>10/04/2018 a 10/05/2021</t>
  </si>
  <si>
    <t>041002</t>
  </si>
  <si>
    <t>Leonardo Alvarenga de Andrade</t>
  </si>
  <si>
    <t>15/12/2022</t>
  </si>
  <si>
    <t>10/12/2019 a 10/03/2022</t>
  </si>
  <si>
    <t>04505</t>
  </si>
  <si>
    <t>Mauro Fortunato da Silva</t>
  </si>
  <si>
    <t>21/02/2024 a 21/02/2024</t>
  </si>
  <si>
    <t>VIVENDAS DO VALE II</t>
  </si>
  <si>
    <t>AP.409</t>
  </si>
  <si>
    <t>Luciana Silva Pereira Lopes</t>
  </si>
  <si>
    <t>23/02/2023</t>
  </si>
  <si>
    <t>10/11/2020 a 10/02/2023</t>
  </si>
  <si>
    <t>COB.504</t>
  </si>
  <si>
    <t>Rodrigo Rodrigues dos Santos</t>
  </si>
  <si>
    <t>02/08/2023</t>
  </si>
  <si>
    <t>AP.307</t>
  </si>
  <si>
    <t>Valdenir dos Reis/ Cinthia (esposa)</t>
  </si>
  <si>
    <t>22/09/2022</t>
  </si>
  <si>
    <t>10/08/2018 a 10/04/2020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</si>
</sst>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44" fontId="2" fillId="0" borderId="0" xfId="1" applyFont="1" applyAlignment="1">
      <alignment horizontal="right" vertical="center"/>
    </xf>
    <xf numFmtId="44" fontId="0" fillId="0" borderId="0" xfId="1" applyFont="1"/>
    <xf numFmtId="164" fontId="0" fillId="0" borderId="0" xfId="1" applyNumberFormat="1" applyFont="1" applyAlignment="1">
      <alignment horizontal="center"/>
    </xf>
    <xf numFmtId="44" fontId="0" fillId="0" borderId="0" xfId="1" applyFont="1" applyAlignment="1">
      <alignment horizontal="right"/>
    </xf>
    <xf numFmtId="44" fontId="0" fillId="0" borderId="0" xfId="1" applyFont="1" applyAlignment="1">
      <alignment horizontal="center"/>
    </xf>
    <xf numFmtId="164" fontId="2" fillId="0" borderId="0" xfId="1" applyNumberFormat="1" applyFont="1" applyAlignment="1">
      <alignment vertical="center"/>
    </xf>
    <xf numFmtId="44" fontId="0" fillId="0" borderId="0" xfId="1" applyFont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19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textRotation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textRotation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285749</xdr:colOff>
      <xdr:row>0</xdr:row>
      <xdr:rowOff>0</xdr:rowOff>
    </xdr:from>
    <xdr:to>
      <xdr:col>0</xdr:col>
      <xdr:colOff>1847850</xdr:colOff>
      <xdr:row>8</xdr:row>
      <xdr:rowOff>145488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2B5BBFD-7385-40E5-A252-FCB91E9C9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9" y="0"/>
          <a:ext cx="1562101" cy="181236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12" displayName="Tabela112" ref="A11:S133" totalsRowCount="1" headerRowDxfId="18">
  <autoFilter ref="A11:S132" xr:uid="{00000000-0009-0000-0100-000001000000}">
    <filterColumn colId="0">
      <filters>
        <filter val="AFRÂNIO"/>
      </filters>
    </filterColumn>
  </autoFilter>
  <tableColumns count="19">
    <tableColumn id="2" xr3:uid="{00000000-0010-0000-0000-000002000000}" name="CARTEIRA"/>
    <tableColumn id="3" xr3:uid="{00000000-0010-0000-0000-000003000000}" name="CONTRATO" dataDxfId="17" totalsRowDxfId="12"/>
    <tableColumn id="4" xr3:uid="{00000000-0010-0000-0000-000004000000}" name="NOME"/>
    <tableColumn id="5" xr3:uid="{00000000-0010-0000-0000-000005000000}" name="FATURA ORIGEM" dataDxfId="16" totalsRowDxfId="11"/>
    <tableColumn id="6" xr3:uid="{00000000-0010-0000-0000-000006000000}" name="PRINC ORIGEM PARC" totalsRowDxfId="10" dataCellStyle="Moeda" totalsRowCellStyle="Moeda"/>
    <tableColumn id="7" xr3:uid="{00000000-0010-0000-0000-000007000000}" name="JUROS" totalsRowDxfId="9" dataCellStyle="Moeda" totalsRowCellStyle="Moeda"/>
    <tableColumn id="8" xr3:uid="{00000000-0010-0000-0000-000008000000}" name="MULTA" totalsRowDxfId="8" dataCellStyle="Moeda" totalsRowCellStyle="Moeda"/>
    <tableColumn id="9" xr3:uid="{00000000-0010-0000-0000-000009000000}" name="HONORARIO" totalsRowDxfId="7" dataCellStyle="Moeda" totalsRowCellStyle="Moeda"/>
    <tableColumn id="10" xr3:uid="{00000000-0010-0000-0000-00000A000000}" name="JUROS PAGOS"/>
    <tableColumn id="11" xr3:uid="{00000000-0010-0000-0000-00000B000000}" name="DESPESA" totalsRowDxfId="6" dataCellStyle="Moeda" totalsRowCellStyle="Moeda"/>
    <tableColumn id="12" xr3:uid="{00000000-0010-0000-0000-00000C000000}" name="CUSTAS" totalsRowDxfId="5" dataCellStyle="Moeda" totalsRowCellStyle="Moeda"/>
    <tableColumn id="13" xr3:uid="{00000000-0010-0000-0000-00000D000000}" name="DATA PAGAMENTO" dataDxfId="15" totalsRowDxfId="4"/>
    <tableColumn id="14" xr3:uid="{00000000-0010-0000-0000-00000E000000}" name="VALOR PAGO" totalsRowDxfId="3" dataCellStyle="Moeda" totalsRowCellStyle="Moeda"/>
    <tableColumn id="16" xr3:uid="{00000000-0010-0000-0000-000010000000}" name="VALOR REPASSE" totalsRowFunction="sum" dataDxfId="14" totalsRowDxfId="2" dataCellStyle="Moeda" totalsRowCellStyle="Moeda"/>
    <tableColumn id="17" xr3:uid="{00000000-0010-0000-0000-000011000000}" name="PARCELA PAGA"/>
    <tableColumn id="18" xr3:uid="{00000000-0010-0000-0000-000012000000}" name="PARCELAS DO ACORDO"/>
    <tableColumn id="19" xr3:uid="{00000000-0010-0000-0000-000013000000}" name="VALOR ABERTO DO ACORDO" totalsRowDxfId="1" dataCellStyle="Moeda" totalsRowCellStyle="Moeda"/>
    <tableColumn id="20" xr3:uid="{00000000-0010-0000-0000-000014000000}" name="DATA ACORDO" dataDxfId="13" totalsRowDxfId="0"/>
    <tableColumn id="21" xr3:uid="{00000000-0010-0000-0000-000015000000}" name="PERIODO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33"/>
  <sheetViews>
    <sheetView showGridLines="0" tabSelected="1" workbookViewId="0">
      <selection activeCell="H7" sqref="H7"/>
    </sheetView>
  </sheetViews>
  <sheetFormatPr defaultRowHeight="15" x14ac:dyDescent="0.25"/>
  <cols>
    <col min="1" max="1" width="29.140625" bestFit="1" customWidth="1"/>
    <col min="2" max="2" width="15.5703125" style="1" bestFit="1" customWidth="1"/>
    <col min="3" max="3" width="41.140625" bestFit="1" customWidth="1"/>
    <col min="4" max="4" width="18.140625" customWidth="1"/>
    <col min="5" max="5" width="21.5703125" style="4" customWidth="1"/>
    <col min="6" max="6" width="12.140625" style="4" bestFit="1" customWidth="1"/>
    <col min="7" max="7" width="12.42578125" style="4" bestFit="1" customWidth="1"/>
    <col min="8" max="8" width="14.28515625" style="4" customWidth="1"/>
    <col min="9" max="9" width="9.140625" hidden="1" customWidth="1"/>
    <col min="10" max="10" width="10.85546875" style="4" customWidth="1"/>
    <col min="11" max="11" width="12.85546875" style="4" bestFit="1" customWidth="1"/>
    <col min="12" max="12" width="20.28515625" style="10" customWidth="1"/>
    <col min="13" max="13" width="14.85546875" style="4" customWidth="1"/>
    <col min="14" max="14" width="18" style="4" customWidth="1"/>
    <col min="15" max="15" width="12.5703125" customWidth="1"/>
    <col min="16" max="16" width="12.7109375" customWidth="1"/>
    <col min="17" max="17" width="16.85546875" style="4" customWidth="1"/>
    <col min="18" max="18" width="16.140625" style="10" customWidth="1"/>
    <col min="19" max="19" width="22.7109375" bestFit="1" customWidth="1"/>
  </cols>
  <sheetData>
    <row r="1" spans="1:19" ht="18.75" x14ac:dyDescent="0.25">
      <c r="A1" s="1"/>
      <c r="B1" s="2"/>
      <c r="C1" s="3"/>
      <c r="D1" s="4"/>
      <c r="I1" s="4"/>
      <c r="L1" s="4"/>
      <c r="M1" s="5"/>
      <c r="O1" s="6"/>
      <c r="P1" s="7"/>
      <c r="Q1"/>
      <c r="R1" s="4"/>
    </row>
    <row r="2" spans="1:19" x14ac:dyDescent="0.25">
      <c r="A2" s="1"/>
      <c r="B2" s="2"/>
      <c r="D2" s="4"/>
      <c r="I2" s="4"/>
      <c r="L2" s="4"/>
      <c r="M2" s="5"/>
      <c r="O2" s="6"/>
      <c r="P2" s="7"/>
      <c r="Q2"/>
      <c r="R2" s="4"/>
    </row>
    <row r="3" spans="1:19" x14ac:dyDescent="0.25">
      <c r="A3" s="1"/>
      <c r="B3" s="2"/>
      <c r="D3" s="4"/>
      <c r="I3" s="4"/>
      <c r="L3" s="4"/>
      <c r="M3" s="5"/>
      <c r="O3" s="6"/>
      <c r="P3" s="7"/>
      <c r="Q3"/>
      <c r="R3" s="4"/>
    </row>
    <row r="4" spans="1:19" ht="18.75" x14ac:dyDescent="0.25">
      <c r="A4" s="1"/>
      <c r="B4" s="2"/>
      <c r="C4" s="8" t="s">
        <v>0</v>
      </c>
      <c r="D4" s="4"/>
      <c r="I4" s="4"/>
      <c r="L4" s="4"/>
      <c r="M4" s="5"/>
      <c r="O4" s="6"/>
      <c r="P4" s="7"/>
      <c r="Q4"/>
      <c r="R4" s="4"/>
    </row>
    <row r="5" spans="1:19" ht="18.75" x14ac:dyDescent="0.25">
      <c r="A5" s="1"/>
      <c r="B5" s="2"/>
      <c r="C5" s="8" t="s">
        <v>1</v>
      </c>
      <c r="D5" s="4"/>
      <c r="I5" s="4"/>
      <c r="L5" s="4"/>
      <c r="M5" s="5"/>
      <c r="O5" s="6"/>
      <c r="P5" s="7"/>
      <c r="Q5"/>
      <c r="R5" s="4"/>
    </row>
    <row r="6" spans="1:19" x14ac:dyDescent="0.25">
      <c r="A6" s="1"/>
      <c r="B6" s="2"/>
      <c r="C6" s="6"/>
      <c r="D6" s="4"/>
      <c r="I6" s="4"/>
      <c r="L6" s="4"/>
      <c r="M6" s="5"/>
      <c r="O6" s="6"/>
      <c r="P6" s="7"/>
      <c r="Q6"/>
      <c r="R6" s="4"/>
    </row>
    <row r="7" spans="1:19" x14ac:dyDescent="0.25">
      <c r="A7" s="1"/>
      <c r="B7" s="2"/>
      <c r="C7" s="6"/>
      <c r="D7" s="4"/>
      <c r="I7" s="4"/>
      <c r="L7" s="4"/>
      <c r="M7" s="5"/>
      <c r="O7" s="6"/>
      <c r="P7" s="7"/>
      <c r="Q7"/>
      <c r="R7" s="4"/>
    </row>
    <row r="8" spans="1:19" x14ac:dyDescent="0.25">
      <c r="A8" s="1"/>
      <c r="B8" s="2"/>
      <c r="C8" s="6"/>
      <c r="D8" s="4"/>
      <c r="I8" s="4"/>
      <c r="L8" s="4"/>
      <c r="M8" s="5"/>
      <c r="O8" s="6"/>
      <c r="P8" s="7"/>
      <c r="Q8"/>
      <c r="R8" s="4"/>
    </row>
    <row r="9" spans="1:19" x14ac:dyDescent="0.25">
      <c r="B9" s="2"/>
      <c r="D9" s="4"/>
      <c r="I9" s="4"/>
      <c r="L9" s="4"/>
      <c r="M9" s="5"/>
      <c r="O9" s="6"/>
      <c r="P9" s="7"/>
      <c r="Q9"/>
      <c r="R9" s="4"/>
    </row>
    <row r="10" spans="1:19" x14ac:dyDescent="0.25">
      <c r="D10" s="9"/>
      <c r="O10" s="9"/>
    </row>
    <row r="11" spans="1:19" s="11" customFormat="1" ht="30" x14ac:dyDescent="0.25">
      <c r="A11" s="11" t="s">
        <v>2</v>
      </c>
      <c r="B11" s="11" t="s">
        <v>3</v>
      </c>
      <c r="C11" s="11" t="s">
        <v>4</v>
      </c>
      <c r="D11" s="11" t="s">
        <v>5</v>
      </c>
      <c r="E11" s="12" t="s">
        <v>6</v>
      </c>
      <c r="F11" s="12" t="s">
        <v>7</v>
      </c>
      <c r="G11" s="12" t="s">
        <v>8</v>
      </c>
      <c r="H11" s="12" t="s">
        <v>9</v>
      </c>
      <c r="I11" s="11" t="s">
        <v>10</v>
      </c>
      <c r="J11" s="12" t="s">
        <v>11</v>
      </c>
      <c r="K11" s="12" t="s">
        <v>12</v>
      </c>
      <c r="L11" s="11" t="s">
        <v>13</v>
      </c>
      <c r="M11" s="12" t="s">
        <v>14</v>
      </c>
      <c r="N11" s="12" t="s">
        <v>15</v>
      </c>
      <c r="O11" s="11" t="s">
        <v>16</v>
      </c>
      <c r="P11" s="11" t="s">
        <v>17</v>
      </c>
      <c r="Q11" s="12" t="s">
        <v>18</v>
      </c>
      <c r="R11" s="11" t="s">
        <v>19</v>
      </c>
      <c r="S11" s="11" t="s">
        <v>20</v>
      </c>
    </row>
    <row r="12" spans="1:19" hidden="1" x14ac:dyDescent="0.25">
      <c r="A12" t="s">
        <v>21</v>
      </c>
      <c r="B12" s="1">
        <v>139</v>
      </c>
      <c r="C12" t="s">
        <v>22</v>
      </c>
      <c r="D12" s="1">
        <v>1548428</v>
      </c>
      <c r="E12" s="4">
        <v>134.34</v>
      </c>
      <c r="F12" s="4">
        <v>8.36</v>
      </c>
      <c r="G12" s="4">
        <v>2.88</v>
      </c>
      <c r="H12" s="4">
        <v>15.54</v>
      </c>
      <c r="J12" s="4">
        <v>3.2</v>
      </c>
      <c r="K12" s="4">
        <v>0</v>
      </c>
      <c r="L12" s="10" t="s">
        <v>23</v>
      </c>
      <c r="M12" s="4">
        <v>137.54</v>
      </c>
      <c r="N12" s="4">
        <v>118.8</v>
      </c>
      <c r="O12">
        <v>5</v>
      </c>
      <c r="P12">
        <v>10</v>
      </c>
      <c r="Q12" s="4">
        <v>537.33000000000004</v>
      </c>
      <c r="R12" s="10" t="s">
        <v>24</v>
      </c>
      <c r="S12" t="s">
        <v>25</v>
      </c>
    </row>
    <row r="13" spans="1:19" hidden="1" x14ac:dyDescent="0.25">
      <c r="A13" t="s">
        <v>21</v>
      </c>
      <c r="B13" s="1">
        <v>29</v>
      </c>
      <c r="C13" t="s">
        <v>26</v>
      </c>
      <c r="D13" s="1">
        <v>1737429</v>
      </c>
      <c r="E13" s="4">
        <v>211.57</v>
      </c>
      <c r="F13" s="4">
        <v>0</v>
      </c>
      <c r="G13" s="4">
        <v>0</v>
      </c>
      <c r="H13" s="4">
        <v>35.26</v>
      </c>
      <c r="I13">
        <v>2.1</v>
      </c>
      <c r="J13" s="4">
        <v>3.2</v>
      </c>
      <c r="K13" s="4">
        <v>0</v>
      </c>
      <c r="L13" s="10" t="s">
        <v>23</v>
      </c>
      <c r="M13" s="4">
        <v>214.77</v>
      </c>
      <c r="N13" s="4">
        <f>Tabela112[[#This Row],[VALOR PAGO]]+Tabela112[[#This Row],[JUROS PAGOS]]-Tabela112[[#This Row],[DESPESA]]-Tabela112[[#This Row],[HONORARIO]]</f>
        <v>178.41000000000003</v>
      </c>
      <c r="O13">
        <v>1</v>
      </c>
      <c r="P13">
        <v>1</v>
      </c>
      <c r="Q13" s="4">
        <v>0</v>
      </c>
      <c r="R13" s="10" t="s">
        <v>27</v>
      </c>
      <c r="S13" t="s">
        <v>28</v>
      </c>
    </row>
    <row r="14" spans="1:19" hidden="1" x14ac:dyDescent="0.25">
      <c r="A14" t="s">
        <v>21</v>
      </c>
      <c r="B14" s="1">
        <v>180</v>
      </c>
      <c r="C14" t="s">
        <v>29</v>
      </c>
      <c r="D14" s="1">
        <v>1058678</v>
      </c>
      <c r="E14" s="4">
        <v>377.33</v>
      </c>
      <c r="F14" s="4">
        <v>103.95</v>
      </c>
      <c r="G14" s="4">
        <v>4.9000000000000004</v>
      </c>
      <c r="H14" s="4">
        <v>55.37</v>
      </c>
      <c r="J14" s="4">
        <v>3.2</v>
      </c>
      <c r="K14" s="4">
        <v>15.44</v>
      </c>
      <c r="L14" s="10" t="s">
        <v>30</v>
      </c>
      <c r="M14" s="4">
        <v>380.53</v>
      </c>
      <c r="N14" s="4">
        <v>321.95999999999998</v>
      </c>
      <c r="O14">
        <v>16</v>
      </c>
      <c r="P14">
        <v>45</v>
      </c>
      <c r="Q14" s="4">
        <v>10565.14</v>
      </c>
      <c r="R14" s="10" t="s">
        <v>31</v>
      </c>
      <c r="S14" t="s">
        <v>32</v>
      </c>
    </row>
    <row r="15" spans="1:19" hidden="1" x14ac:dyDescent="0.25">
      <c r="A15" t="s">
        <v>21</v>
      </c>
      <c r="B15" s="1">
        <v>121</v>
      </c>
      <c r="C15" t="s">
        <v>29</v>
      </c>
      <c r="D15" s="1">
        <v>1594780</v>
      </c>
      <c r="E15" s="4">
        <v>231.59</v>
      </c>
      <c r="F15" s="4">
        <v>13.87</v>
      </c>
      <c r="G15" s="4">
        <v>4.18</v>
      </c>
      <c r="H15" s="4">
        <v>22.7</v>
      </c>
      <c r="J15" s="4">
        <v>3.2</v>
      </c>
      <c r="K15" s="4">
        <v>0</v>
      </c>
      <c r="L15" s="10" t="s">
        <v>33</v>
      </c>
      <c r="M15" s="4">
        <v>234.79</v>
      </c>
      <c r="N15" s="4">
        <v>208.89</v>
      </c>
      <c r="O15">
        <v>4</v>
      </c>
      <c r="P15">
        <v>4</v>
      </c>
      <c r="Q15" s="4">
        <v>0</v>
      </c>
      <c r="R15" s="10" t="s">
        <v>34</v>
      </c>
      <c r="S15" t="s">
        <v>35</v>
      </c>
    </row>
    <row r="16" spans="1:19" hidden="1" x14ac:dyDescent="0.25">
      <c r="A16" t="s">
        <v>21</v>
      </c>
      <c r="B16" s="1">
        <v>114</v>
      </c>
      <c r="C16" t="s">
        <v>36</v>
      </c>
      <c r="D16" s="1">
        <v>1727811</v>
      </c>
      <c r="E16" s="4">
        <v>210.02</v>
      </c>
      <c r="F16" s="4">
        <v>0</v>
      </c>
      <c r="G16" s="4">
        <v>0</v>
      </c>
      <c r="H16" s="4">
        <v>70.010000000000005</v>
      </c>
      <c r="J16" s="4">
        <v>3.2</v>
      </c>
      <c r="K16" s="4">
        <v>0</v>
      </c>
      <c r="L16" s="10" t="s">
        <v>33</v>
      </c>
      <c r="M16" s="4">
        <v>213.22</v>
      </c>
      <c r="N16" s="4">
        <f>Tabela112[[#This Row],[VALOR PAGO]]+Tabela112[[#This Row],[JUROS PAGOS]]-Tabela112[[#This Row],[DESPESA]]-Tabela112[[#This Row],[HONORARIO]]</f>
        <v>140.01</v>
      </c>
      <c r="O16">
        <v>2</v>
      </c>
      <c r="P16">
        <v>2</v>
      </c>
      <c r="Q16" s="4">
        <v>0</v>
      </c>
      <c r="R16" s="10" t="s">
        <v>37</v>
      </c>
      <c r="S16" t="s">
        <v>38</v>
      </c>
    </row>
    <row r="17" spans="1:19" hidden="1" x14ac:dyDescent="0.25">
      <c r="A17" t="s">
        <v>21</v>
      </c>
      <c r="B17" s="1">
        <v>38</v>
      </c>
      <c r="C17" t="s">
        <v>39</v>
      </c>
      <c r="D17" s="1">
        <v>1665245</v>
      </c>
      <c r="E17" s="4">
        <v>220.13</v>
      </c>
      <c r="F17" s="4">
        <v>0</v>
      </c>
      <c r="G17" s="4">
        <v>0</v>
      </c>
      <c r="H17" s="4">
        <v>36.69</v>
      </c>
      <c r="I17">
        <v>0.43</v>
      </c>
      <c r="J17" s="4">
        <v>3.2</v>
      </c>
      <c r="K17" s="4">
        <v>0</v>
      </c>
      <c r="L17" s="10" t="s">
        <v>23</v>
      </c>
      <c r="M17" s="4">
        <v>223.33</v>
      </c>
      <c r="N17" s="4">
        <f>Tabela112[[#This Row],[VALOR PAGO]]+Tabela112[[#This Row],[JUROS PAGOS]]-Tabela112[[#This Row],[DESPESA]]-Tabela112[[#This Row],[HONORARIO]]</f>
        <v>183.87000000000003</v>
      </c>
      <c r="O17">
        <v>1</v>
      </c>
      <c r="P17">
        <v>4</v>
      </c>
      <c r="Q17" s="4">
        <v>660.38</v>
      </c>
      <c r="R17" s="10" t="s">
        <v>40</v>
      </c>
      <c r="S17" t="s">
        <v>41</v>
      </c>
    </row>
    <row r="18" spans="1:19" hidden="1" x14ac:dyDescent="0.25">
      <c r="A18" t="s">
        <v>21</v>
      </c>
      <c r="B18" s="1">
        <v>98</v>
      </c>
      <c r="C18" t="s">
        <v>42</v>
      </c>
      <c r="D18" s="1">
        <v>1239440</v>
      </c>
      <c r="E18" s="4">
        <v>189.93</v>
      </c>
      <c r="F18" s="4">
        <v>25.98</v>
      </c>
      <c r="G18" s="4">
        <v>2.61</v>
      </c>
      <c r="H18" s="4">
        <v>31.84</v>
      </c>
      <c r="J18" s="4">
        <v>3.2</v>
      </c>
      <c r="K18" s="4">
        <v>28.02</v>
      </c>
      <c r="L18" s="10" t="s">
        <v>23</v>
      </c>
      <c r="M18" s="4">
        <v>193.13</v>
      </c>
      <c r="N18" s="4">
        <v>158.09</v>
      </c>
      <c r="O18">
        <v>6</v>
      </c>
      <c r="P18">
        <v>45</v>
      </c>
      <c r="Q18" s="4">
        <v>7217.23</v>
      </c>
      <c r="R18" s="10" t="s">
        <v>43</v>
      </c>
      <c r="S18" t="s">
        <v>44</v>
      </c>
    </row>
    <row r="19" spans="1:19" hidden="1" x14ac:dyDescent="0.25">
      <c r="A19" t="s">
        <v>21</v>
      </c>
      <c r="B19" s="1">
        <v>98</v>
      </c>
      <c r="C19" t="s">
        <v>42</v>
      </c>
      <c r="D19" s="1">
        <v>1715652</v>
      </c>
      <c r="E19" s="4">
        <v>217.09</v>
      </c>
      <c r="F19" s="4">
        <v>0</v>
      </c>
      <c r="G19" s="4">
        <v>0</v>
      </c>
      <c r="H19" s="4">
        <v>36.18</v>
      </c>
      <c r="J19" s="4">
        <v>3.2</v>
      </c>
      <c r="K19" s="4">
        <v>0</v>
      </c>
      <c r="L19" s="10" t="s">
        <v>45</v>
      </c>
      <c r="M19" s="4">
        <v>220.29</v>
      </c>
      <c r="N19" s="4">
        <f>Tabela112[[#This Row],[VALOR PAGO]]+Tabela112[[#This Row],[JUROS PAGOS]]-Tabela112[[#This Row],[DESPESA]]-Tabela112[[#This Row],[HONORARIO]]</f>
        <v>180.91</v>
      </c>
      <c r="O19">
        <v>1</v>
      </c>
      <c r="P19">
        <v>1</v>
      </c>
      <c r="Q19" s="4">
        <v>0</v>
      </c>
      <c r="R19" s="10" t="s">
        <v>46</v>
      </c>
      <c r="S19" t="s">
        <v>47</v>
      </c>
    </row>
    <row r="20" spans="1:19" hidden="1" x14ac:dyDescent="0.25">
      <c r="A20" t="s">
        <v>21</v>
      </c>
      <c r="B20" s="1">
        <v>14</v>
      </c>
      <c r="C20" t="s">
        <v>48</v>
      </c>
      <c r="D20" s="1">
        <v>1715568</v>
      </c>
      <c r="E20" s="4">
        <v>641.72</v>
      </c>
      <c r="F20" s="4">
        <v>0</v>
      </c>
      <c r="G20" s="4">
        <v>0</v>
      </c>
      <c r="H20" s="4">
        <v>106.95</v>
      </c>
      <c r="J20" s="4">
        <v>3.2</v>
      </c>
      <c r="K20" s="4">
        <v>0</v>
      </c>
      <c r="L20" s="10" t="s">
        <v>46</v>
      </c>
      <c r="M20" s="4">
        <v>644.91999999999996</v>
      </c>
      <c r="N20" s="4">
        <f>Tabela112[[#This Row],[VALOR PAGO]]+Tabela112[[#This Row],[JUROS PAGOS]]-Tabela112[[#This Row],[DESPESA]]-Tabela112[[#This Row],[HONORARIO]]</f>
        <v>534.76999999999987</v>
      </c>
      <c r="O20">
        <v>1</v>
      </c>
      <c r="P20">
        <v>1</v>
      </c>
      <c r="Q20" s="4">
        <v>0</v>
      </c>
      <c r="R20" s="10" t="s">
        <v>23</v>
      </c>
      <c r="S20" t="s">
        <v>49</v>
      </c>
    </row>
    <row r="21" spans="1:19" hidden="1" x14ac:dyDescent="0.25">
      <c r="A21" t="s">
        <v>21</v>
      </c>
      <c r="B21" s="1">
        <v>174</v>
      </c>
      <c r="C21" t="s">
        <v>50</v>
      </c>
      <c r="D21" s="1">
        <v>1746116</v>
      </c>
      <c r="E21" s="4">
        <v>192.39</v>
      </c>
      <c r="F21" s="4">
        <v>0</v>
      </c>
      <c r="G21" s="4">
        <v>0</v>
      </c>
      <c r="H21" s="4">
        <v>18.16</v>
      </c>
      <c r="J21" s="4">
        <v>3.2</v>
      </c>
      <c r="K21" s="4">
        <v>0</v>
      </c>
      <c r="L21" s="10" t="s">
        <v>33</v>
      </c>
      <c r="M21" s="4">
        <v>195.59</v>
      </c>
      <c r="N21" s="4">
        <f>Tabela112[[#This Row],[VALOR PAGO]]+Tabela112[[#This Row],[JUROS PAGOS]]-Tabela112[[#This Row],[DESPESA]]-Tabela112[[#This Row],[HONORARIO]]</f>
        <v>174.23000000000002</v>
      </c>
      <c r="O21">
        <v>1</v>
      </c>
      <c r="P21">
        <v>1</v>
      </c>
      <c r="Q21" s="4">
        <v>0</v>
      </c>
      <c r="R21" s="10" t="s">
        <v>30</v>
      </c>
      <c r="S21" t="s">
        <v>51</v>
      </c>
    </row>
    <row r="22" spans="1:19" x14ac:dyDescent="0.25">
      <c r="A22" t="s">
        <v>52</v>
      </c>
      <c r="B22" s="1" t="s">
        <v>53</v>
      </c>
      <c r="C22" t="s">
        <v>54</v>
      </c>
      <c r="D22" s="1">
        <v>1105616</v>
      </c>
      <c r="E22" s="4">
        <v>1265.28</v>
      </c>
      <c r="F22" s="4">
        <v>160.02000000000001</v>
      </c>
      <c r="G22" s="4">
        <v>19.7</v>
      </c>
      <c r="H22" s="4">
        <v>66.14</v>
      </c>
      <c r="J22" s="4">
        <v>3.2</v>
      </c>
      <c r="K22" s="4">
        <v>87.51</v>
      </c>
      <c r="L22" s="10" t="s">
        <v>33</v>
      </c>
      <c r="M22" s="4">
        <v>1268.48</v>
      </c>
      <c r="N22" s="4">
        <v>1199.1400000000001</v>
      </c>
      <c r="O22">
        <v>12</v>
      </c>
      <c r="P22">
        <v>21</v>
      </c>
      <c r="Q22" s="4">
        <v>11387.57</v>
      </c>
      <c r="R22" s="10" t="s">
        <v>55</v>
      </c>
      <c r="S22" t="s">
        <v>56</v>
      </c>
    </row>
    <row r="23" spans="1:19" hidden="1" x14ac:dyDescent="0.25">
      <c r="A23" t="s">
        <v>57</v>
      </c>
      <c r="B23" s="1" t="s">
        <v>58</v>
      </c>
      <c r="C23" t="s">
        <v>59</v>
      </c>
      <c r="D23" s="1" t="s">
        <v>60</v>
      </c>
      <c r="E23" s="4">
        <v>459.05</v>
      </c>
      <c r="F23" s="4">
        <v>31.01</v>
      </c>
      <c r="G23" s="4">
        <v>8.18</v>
      </c>
      <c r="H23" s="4">
        <v>41.73</v>
      </c>
      <c r="J23" s="4">
        <v>3.2</v>
      </c>
      <c r="K23" s="4">
        <v>0</v>
      </c>
      <c r="L23" s="10" t="s">
        <v>30</v>
      </c>
      <c r="M23" s="4">
        <v>462.25</v>
      </c>
      <c r="N23" s="4">
        <v>417.32</v>
      </c>
      <c r="O23">
        <v>1</v>
      </c>
      <c r="P23">
        <v>1</v>
      </c>
      <c r="Q23" s="4">
        <v>0</v>
      </c>
      <c r="R23" s="10" t="s">
        <v>30</v>
      </c>
      <c r="S23" t="s">
        <v>61</v>
      </c>
    </row>
    <row r="24" spans="1:19" hidden="1" x14ac:dyDescent="0.25">
      <c r="A24" t="s">
        <v>62</v>
      </c>
      <c r="B24" s="1">
        <v>25</v>
      </c>
      <c r="C24" t="s">
        <v>63</v>
      </c>
      <c r="D24" s="1">
        <v>1749466</v>
      </c>
      <c r="E24" s="4">
        <v>204.02</v>
      </c>
      <c r="F24" s="4">
        <v>7.23</v>
      </c>
      <c r="G24" s="4">
        <v>3.33</v>
      </c>
      <c r="H24" s="4">
        <v>34</v>
      </c>
      <c r="J24" s="4">
        <v>3.2</v>
      </c>
      <c r="K24" s="4">
        <v>0</v>
      </c>
      <c r="L24" s="10" t="s">
        <v>45</v>
      </c>
      <c r="M24" s="4">
        <v>207.22</v>
      </c>
      <c r="N24" s="4">
        <v>170.02</v>
      </c>
      <c r="O24">
        <v>1</v>
      </c>
      <c r="P24">
        <v>1</v>
      </c>
      <c r="Q24" s="4">
        <v>0</v>
      </c>
      <c r="R24" s="10" t="s">
        <v>64</v>
      </c>
      <c r="S24" t="s">
        <v>51</v>
      </c>
    </row>
    <row r="25" spans="1:19" hidden="1" x14ac:dyDescent="0.25">
      <c r="A25" t="s">
        <v>65</v>
      </c>
      <c r="B25" s="1" t="s">
        <v>66</v>
      </c>
      <c r="C25" t="s">
        <v>67</v>
      </c>
      <c r="D25" s="1">
        <v>1754337</v>
      </c>
      <c r="E25" s="4">
        <v>967.18</v>
      </c>
      <c r="F25" s="4">
        <v>16.760000000000002</v>
      </c>
      <c r="G25" s="4">
        <v>15.8</v>
      </c>
      <c r="H25" s="4">
        <v>161.19999999999999</v>
      </c>
      <c r="J25" s="4">
        <v>3.2</v>
      </c>
      <c r="K25" s="4">
        <v>0</v>
      </c>
      <c r="L25" s="10" t="s">
        <v>30</v>
      </c>
      <c r="M25" s="4">
        <v>970.38</v>
      </c>
      <c r="N25" s="4">
        <v>805.98</v>
      </c>
      <c r="O25">
        <v>1</v>
      </c>
      <c r="P25">
        <v>1</v>
      </c>
      <c r="Q25" s="4">
        <v>0</v>
      </c>
      <c r="R25" s="10" t="s">
        <v>64</v>
      </c>
      <c r="S25" t="s">
        <v>51</v>
      </c>
    </row>
    <row r="26" spans="1:19" hidden="1" x14ac:dyDescent="0.25">
      <c r="A26" t="s">
        <v>68</v>
      </c>
      <c r="B26" s="1">
        <v>48</v>
      </c>
      <c r="C26" t="s">
        <v>69</v>
      </c>
      <c r="D26" s="1">
        <v>1028235</v>
      </c>
      <c r="E26" s="4">
        <v>949.83</v>
      </c>
      <c r="F26" s="4">
        <v>418.46</v>
      </c>
      <c r="G26" s="4">
        <v>25.64</v>
      </c>
      <c r="H26" s="4">
        <v>130.75</v>
      </c>
      <c r="I26">
        <v>9.35</v>
      </c>
      <c r="J26" s="4">
        <v>3.2</v>
      </c>
      <c r="K26" s="4">
        <v>0</v>
      </c>
      <c r="L26" s="10" t="s">
        <v>33</v>
      </c>
      <c r="M26" s="4">
        <v>953.03</v>
      </c>
      <c r="N26" s="4">
        <f>Tabela112[[#This Row],[VALOR PAGO]]+Tabela112[[#This Row],[JUROS PAGOS]]-Tabela112[[#This Row],[DESPESA]]-Tabela112[[#This Row],[HONORARIO]]</f>
        <v>828.43</v>
      </c>
      <c r="O26">
        <v>7</v>
      </c>
      <c r="P26">
        <v>15</v>
      </c>
      <c r="Q26" s="4">
        <v>7598.68</v>
      </c>
      <c r="R26" s="10" t="s">
        <v>70</v>
      </c>
      <c r="S26" t="s">
        <v>71</v>
      </c>
    </row>
    <row r="27" spans="1:19" hidden="1" x14ac:dyDescent="0.25">
      <c r="A27" t="s">
        <v>72</v>
      </c>
      <c r="B27" s="1">
        <v>38</v>
      </c>
      <c r="C27" t="s">
        <v>73</v>
      </c>
      <c r="D27" s="1">
        <v>1222329</v>
      </c>
      <c r="E27" s="4">
        <v>150.97999999999999</v>
      </c>
      <c r="F27" s="4">
        <v>23.31</v>
      </c>
      <c r="G27" s="4">
        <v>2.89</v>
      </c>
      <c r="H27" s="4">
        <v>14.75</v>
      </c>
      <c r="J27" s="4">
        <v>3.2</v>
      </c>
      <c r="K27" s="4">
        <v>0</v>
      </c>
      <c r="L27" s="10" t="s">
        <v>45</v>
      </c>
      <c r="M27" s="4">
        <v>154.18</v>
      </c>
      <c r="N27" s="4">
        <v>136.22999999999999</v>
      </c>
      <c r="O27">
        <v>12</v>
      </c>
      <c r="P27">
        <v>31</v>
      </c>
      <c r="Q27" s="4">
        <v>2868.66</v>
      </c>
      <c r="R27" s="10" t="s">
        <v>74</v>
      </c>
      <c r="S27" t="s">
        <v>75</v>
      </c>
    </row>
    <row r="28" spans="1:19" hidden="1" x14ac:dyDescent="0.25">
      <c r="A28" t="s">
        <v>76</v>
      </c>
      <c r="B28" s="1">
        <v>1407</v>
      </c>
      <c r="C28" t="s">
        <v>77</v>
      </c>
      <c r="D28" s="1">
        <v>1271499</v>
      </c>
      <c r="E28" s="4">
        <v>403.23</v>
      </c>
      <c r="F28" s="4">
        <v>83.66</v>
      </c>
      <c r="G28" s="4">
        <v>4.95</v>
      </c>
      <c r="H28" s="4">
        <v>67.209999999999994</v>
      </c>
      <c r="J28" s="4">
        <v>3.2</v>
      </c>
      <c r="K28" s="4">
        <v>0</v>
      </c>
      <c r="L28" s="10" t="s">
        <v>45</v>
      </c>
      <c r="M28" s="4">
        <v>406.43</v>
      </c>
      <c r="N28" s="4">
        <v>336.02</v>
      </c>
      <c r="O28">
        <v>3</v>
      </c>
      <c r="P28">
        <v>6</v>
      </c>
      <c r="Q28" s="4">
        <v>1209.68</v>
      </c>
      <c r="R28" s="10" t="s">
        <v>78</v>
      </c>
      <c r="S28" t="s">
        <v>79</v>
      </c>
    </row>
    <row r="29" spans="1:19" hidden="1" x14ac:dyDescent="0.25">
      <c r="A29" t="s">
        <v>76</v>
      </c>
      <c r="B29" s="1">
        <v>1606</v>
      </c>
      <c r="C29" t="s">
        <v>80</v>
      </c>
      <c r="D29" s="1">
        <v>1739506</v>
      </c>
      <c r="E29" s="4">
        <v>661.39</v>
      </c>
      <c r="F29" s="4">
        <v>17.61</v>
      </c>
      <c r="G29" s="4">
        <v>10.46</v>
      </c>
      <c r="H29" s="4">
        <v>110.23</v>
      </c>
      <c r="J29" s="4">
        <v>3.2</v>
      </c>
      <c r="K29" s="4">
        <v>0</v>
      </c>
      <c r="L29" s="10" t="s">
        <v>33</v>
      </c>
      <c r="M29" s="4">
        <v>664.59</v>
      </c>
      <c r="N29" s="4">
        <v>551.16</v>
      </c>
      <c r="O29">
        <v>1</v>
      </c>
      <c r="P29">
        <v>1</v>
      </c>
      <c r="Q29" s="4">
        <v>0</v>
      </c>
      <c r="R29" s="10" t="s">
        <v>81</v>
      </c>
      <c r="S29" t="s">
        <v>28</v>
      </c>
    </row>
    <row r="30" spans="1:19" hidden="1" x14ac:dyDescent="0.25">
      <c r="A30" t="s">
        <v>82</v>
      </c>
      <c r="B30" s="1" t="s">
        <v>83</v>
      </c>
      <c r="C30" t="s">
        <v>84</v>
      </c>
      <c r="D30" s="1">
        <v>1750156</v>
      </c>
      <c r="E30" s="4">
        <v>747.72</v>
      </c>
      <c r="F30" s="4">
        <v>13.93</v>
      </c>
      <c r="G30" s="4">
        <v>12.22</v>
      </c>
      <c r="H30" s="4">
        <v>124.62</v>
      </c>
      <c r="J30" s="4">
        <v>3.2</v>
      </c>
      <c r="K30" s="4">
        <v>0</v>
      </c>
      <c r="L30" s="10" t="s">
        <v>30</v>
      </c>
      <c r="M30" s="4">
        <v>750.92</v>
      </c>
      <c r="N30" s="4">
        <v>623.1</v>
      </c>
      <c r="O30">
        <v>1</v>
      </c>
      <c r="P30">
        <v>1</v>
      </c>
      <c r="Q30" s="4">
        <v>0</v>
      </c>
      <c r="R30" s="10" t="s">
        <v>30</v>
      </c>
      <c r="S30" t="s">
        <v>51</v>
      </c>
    </row>
    <row r="31" spans="1:19" hidden="1" x14ac:dyDescent="0.25">
      <c r="A31" t="s">
        <v>82</v>
      </c>
      <c r="B31" s="1" t="s">
        <v>85</v>
      </c>
      <c r="C31" t="s">
        <v>84</v>
      </c>
      <c r="D31" s="1">
        <v>1186782</v>
      </c>
      <c r="E31" s="4">
        <v>743.72</v>
      </c>
      <c r="F31" s="4">
        <v>213.14</v>
      </c>
      <c r="G31" s="4">
        <v>18.86</v>
      </c>
      <c r="H31" s="4">
        <v>96.16</v>
      </c>
      <c r="J31" s="4">
        <v>3.2</v>
      </c>
      <c r="K31" s="4">
        <v>0</v>
      </c>
      <c r="L31" s="10" t="s">
        <v>45</v>
      </c>
      <c r="M31" s="4">
        <v>746.92</v>
      </c>
      <c r="N31" s="4">
        <v>647.55999999999995</v>
      </c>
      <c r="O31">
        <v>2</v>
      </c>
      <c r="P31">
        <v>4</v>
      </c>
      <c r="Q31" s="4">
        <v>743.72</v>
      </c>
      <c r="R31" s="10" t="s">
        <v>86</v>
      </c>
      <c r="S31" t="s">
        <v>87</v>
      </c>
    </row>
    <row r="32" spans="1:19" hidden="1" x14ac:dyDescent="0.25">
      <c r="A32" t="s">
        <v>82</v>
      </c>
      <c r="B32" s="1" t="s">
        <v>83</v>
      </c>
      <c r="C32" t="s">
        <v>84</v>
      </c>
      <c r="D32" s="1">
        <v>1174394</v>
      </c>
      <c r="E32" s="4">
        <v>1104.0999999999999</v>
      </c>
      <c r="F32" s="4">
        <v>214.57</v>
      </c>
      <c r="G32" s="4">
        <v>23.56</v>
      </c>
      <c r="H32" s="4">
        <v>120.18</v>
      </c>
      <c r="J32" s="4">
        <v>3.2</v>
      </c>
      <c r="K32" s="4">
        <v>0</v>
      </c>
      <c r="L32" s="10" t="s">
        <v>45</v>
      </c>
      <c r="M32" s="4">
        <v>1107.3</v>
      </c>
      <c r="N32" s="4">
        <v>983.92</v>
      </c>
      <c r="O32">
        <v>2</v>
      </c>
      <c r="P32">
        <v>11</v>
      </c>
      <c r="Q32" s="4">
        <v>8832.75</v>
      </c>
      <c r="R32" s="10" t="s">
        <v>86</v>
      </c>
      <c r="S32" t="s">
        <v>88</v>
      </c>
    </row>
    <row r="33" spans="1:19" hidden="1" x14ac:dyDescent="0.25">
      <c r="A33" t="s">
        <v>82</v>
      </c>
      <c r="B33" s="1" t="s">
        <v>89</v>
      </c>
      <c r="C33" t="s">
        <v>90</v>
      </c>
      <c r="D33" s="1">
        <v>1543098</v>
      </c>
      <c r="E33" s="4">
        <v>808.77</v>
      </c>
      <c r="F33" s="4">
        <v>85.42</v>
      </c>
      <c r="G33" s="4">
        <v>13.22</v>
      </c>
      <c r="H33" s="4">
        <v>134.80000000000001</v>
      </c>
      <c r="J33" s="4">
        <v>3.2</v>
      </c>
      <c r="K33" s="4">
        <v>0</v>
      </c>
      <c r="L33" s="10" t="s">
        <v>45</v>
      </c>
      <c r="M33" s="4">
        <v>811.97</v>
      </c>
      <c r="N33" s="4">
        <v>673.97</v>
      </c>
      <c r="O33">
        <v>1</v>
      </c>
      <c r="P33">
        <v>4</v>
      </c>
      <c r="Q33" s="4">
        <v>2426.3000000000002</v>
      </c>
      <c r="R33" s="10" t="s">
        <v>64</v>
      </c>
      <c r="S33" t="s">
        <v>91</v>
      </c>
    </row>
    <row r="34" spans="1:19" hidden="1" x14ac:dyDescent="0.25">
      <c r="A34" t="s">
        <v>82</v>
      </c>
      <c r="B34" s="1" t="s">
        <v>92</v>
      </c>
      <c r="C34" t="s">
        <v>90</v>
      </c>
      <c r="D34" s="1">
        <v>1157264</v>
      </c>
      <c r="E34" s="4">
        <v>1400.31</v>
      </c>
      <c r="F34" s="4">
        <v>322.01</v>
      </c>
      <c r="G34" s="4">
        <v>33.22</v>
      </c>
      <c r="H34" s="4">
        <v>169.45</v>
      </c>
      <c r="J34" s="4">
        <v>3.2</v>
      </c>
      <c r="K34" s="4">
        <v>0</v>
      </c>
      <c r="L34" s="10" t="s">
        <v>33</v>
      </c>
      <c r="M34" s="4">
        <v>1403.51</v>
      </c>
      <c r="N34" s="4">
        <v>1234.06</v>
      </c>
      <c r="O34">
        <v>2</v>
      </c>
      <c r="P34">
        <v>11</v>
      </c>
      <c r="Q34" s="4">
        <v>11202.52</v>
      </c>
      <c r="R34" s="10" t="s">
        <v>86</v>
      </c>
      <c r="S34" t="s">
        <v>93</v>
      </c>
    </row>
    <row r="35" spans="1:19" hidden="1" x14ac:dyDescent="0.25">
      <c r="A35" t="s">
        <v>94</v>
      </c>
      <c r="B35" s="1" t="s">
        <v>95</v>
      </c>
      <c r="C35" t="s">
        <v>96</v>
      </c>
      <c r="D35" s="1">
        <v>1736950</v>
      </c>
      <c r="E35" s="4">
        <v>6735.79</v>
      </c>
      <c r="F35" s="4">
        <v>1541.92</v>
      </c>
      <c r="G35" s="4">
        <v>101.75</v>
      </c>
      <c r="H35" s="4">
        <v>518.83000000000004</v>
      </c>
      <c r="J35" s="4">
        <v>3.2</v>
      </c>
      <c r="K35" s="4">
        <v>1028.82</v>
      </c>
      <c r="L35" s="10" t="s">
        <v>64</v>
      </c>
      <c r="M35" s="4">
        <v>6738.99</v>
      </c>
      <c r="N35" s="4">
        <v>6216.96</v>
      </c>
      <c r="O35">
        <v>1</v>
      </c>
      <c r="P35">
        <v>1</v>
      </c>
      <c r="Q35" s="4">
        <v>0</v>
      </c>
      <c r="R35" s="10" t="s">
        <v>97</v>
      </c>
      <c r="S35" t="s">
        <v>98</v>
      </c>
    </row>
    <row r="36" spans="1:19" hidden="1" x14ac:dyDescent="0.25">
      <c r="A36" t="s">
        <v>99</v>
      </c>
      <c r="B36" s="1" t="s">
        <v>100</v>
      </c>
      <c r="C36" t="s">
        <v>101</v>
      </c>
      <c r="D36" s="1" t="s">
        <v>102</v>
      </c>
      <c r="E36" s="4">
        <v>192.84</v>
      </c>
      <c r="F36" s="4">
        <v>35.69</v>
      </c>
      <c r="G36" s="4">
        <v>3.31</v>
      </c>
      <c r="H36" s="4">
        <v>0</v>
      </c>
      <c r="J36" s="4">
        <v>3.2</v>
      </c>
      <c r="K36" s="4">
        <v>18.75</v>
      </c>
      <c r="L36" s="10" t="s">
        <v>45</v>
      </c>
      <c r="M36" s="4">
        <v>196.04</v>
      </c>
      <c r="N36" s="4">
        <f>Tabela112[[#This Row],[VALOR PAGO]]+Tabela112[[#This Row],[JUROS PAGOS]]-Tabela112[[#This Row],[DESPESA]]-Tabela112[[#This Row],[HONORARIO]]</f>
        <v>192.84</v>
      </c>
      <c r="O36">
        <v>34</v>
      </c>
      <c r="P36">
        <v>36</v>
      </c>
      <c r="Q36" s="4">
        <v>385.68</v>
      </c>
      <c r="R36" s="10" t="s">
        <v>103</v>
      </c>
      <c r="S36" t="s">
        <v>104</v>
      </c>
    </row>
    <row r="37" spans="1:19" hidden="1" x14ac:dyDescent="0.25">
      <c r="A37" t="s">
        <v>105</v>
      </c>
      <c r="B37" s="1" t="s">
        <v>106</v>
      </c>
      <c r="C37" t="s">
        <v>107</v>
      </c>
      <c r="D37" s="1">
        <v>1692714</v>
      </c>
      <c r="E37" s="4">
        <v>193.88</v>
      </c>
      <c r="F37" s="4">
        <v>3.78</v>
      </c>
      <c r="G37" s="4">
        <v>3.38</v>
      </c>
      <c r="H37" s="4">
        <v>17.62</v>
      </c>
      <c r="I37">
        <v>4.5599999999999996</v>
      </c>
      <c r="J37" s="4">
        <v>3.2</v>
      </c>
      <c r="K37" s="4">
        <v>0</v>
      </c>
      <c r="L37" s="10" t="s">
        <v>81</v>
      </c>
      <c r="M37" s="4">
        <v>197.08</v>
      </c>
      <c r="N37" s="4">
        <f>Tabela112[[#This Row],[VALOR PAGO]]+Tabela112[[#This Row],[JUROS PAGOS]]-Tabela112[[#This Row],[DESPESA]]-Tabela112[[#This Row],[HONORARIO]]</f>
        <v>180.82000000000002</v>
      </c>
      <c r="O37">
        <v>4</v>
      </c>
      <c r="P37">
        <v>5</v>
      </c>
      <c r="Q37" s="4">
        <v>193.86</v>
      </c>
      <c r="R37" s="10" t="s">
        <v>108</v>
      </c>
      <c r="S37" t="s">
        <v>109</v>
      </c>
    </row>
    <row r="38" spans="1:19" hidden="1" x14ac:dyDescent="0.25">
      <c r="A38" t="s">
        <v>105</v>
      </c>
      <c r="B38" s="1" t="s">
        <v>110</v>
      </c>
      <c r="C38" t="s">
        <v>111</v>
      </c>
      <c r="D38" s="1">
        <v>1720863</v>
      </c>
      <c r="E38" s="4">
        <v>1506.54</v>
      </c>
      <c r="F38" s="4">
        <v>30.62</v>
      </c>
      <c r="G38" s="4">
        <v>26.24</v>
      </c>
      <c r="H38" s="4">
        <v>136.96</v>
      </c>
      <c r="J38" s="4">
        <v>3.2</v>
      </c>
      <c r="K38" s="4">
        <v>0</v>
      </c>
      <c r="L38" s="10" t="s">
        <v>64</v>
      </c>
      <c r="M38" s="4">
        <v>1509.74</v>
      </c>
      <c r="N38" s="4">
        <v>1372.78</v>
      </c>
      <c r="O38">
        <v>1</v>
      </c>
      <c r="P38">
        <v>1</v>
      </c>
      <c r="Q38" s="4">
        <v>0</v>
      </c>
      <c r="R38" s="10" t="s">
        <v>30</v>
      </c>
      <c r="S38" t="s">
        <v>112</v>
      </c>
    </row>
    <row r="39" spans="1:19" hidden="1" x14ac:dyDescent="0.25">
      <c r="A39" t="s">
        <v>105</v>
      </c>
      <c r="B39" s="1" t="s">
        <v>113</v>
      </c>
      <c r="C39" t="s">
        <v>114</v>
      </c>
      <c r="D39" s="1">
        <v>1077057</v>
      </c>
      <c r="E39" s="4">
        <v>347.45</v>
      </c>
      <c r="F39" s="4">
        <v>66.14</v>
      </c>
      <c r="G39" s="4">
        <v>7.07</v>
      </c>
      <c r="H39" s="4">
        <v>41.97</v>
      </c>
      <c r="J39" s="4">
        <v>3.2</v>
      </c>
      <c r="K39" s="4">
        <v>0</v>
      </c>
      <c r="L39" s="10" t="s">
        <v>46</v>
      </c>
      <c r="M39" s="4">
        <v>350.65</v>
      </c>
      <c r="N39" s="4">
        <v>305.48</v>
      </c>
      <c r="O39">
        <v>13</v>
      </c>
      <c r="P39">
        <v>26</v>
      </c>
      <c r="Q39" s="4">
        <v>4169.3900000000003</v>
      </c>
      <c r="R39" s="10" t="s">
        <v>115</v>
      </c>
      <c r="S39" t="s">
        <v>116</v>
      </c>
    </row>
    <row r="40" spans="1:19" hidden="1" x14ac:dyDescent="0.25">
      <c r="A40" t="s">
        <v>105</v>
      </c>
      <c r="B40" s="1" t="s">
        <v>117</v>
      </c>
      <c r="C40" t="s">
        <v>118</v>
      </c>
      <c r="D40" s="1">
        <v>1004088</v>
      </c>
      <c r="E40" s="4">
        <v>313.08999999999997</v>
      </c>
      <c r="F40" s="4">
        <v>90.85</v>
      </c>
      <c r="G40" s="4">
        <v>4.25</v>
      </c>
      <c r="H40" s="4">
        <v>30.77</v>
      </c>
      <c r="J40" s="4">
        <v>3.2</v>
      </c>
      <c r="K40" s="4">
        <v>0</v>
      </c>
      <c r="L40" s="10" t="s">
        <v>30</v>
      </c>
      <c r="M40" s="4">
        <v>316.29000000000002</v>
      </c>
      <c r="N40" s="4">
        <v>282.32</v>
      </c>
      <c r="O40">
        <v>5</v>
      </c>
      <c r="P40">
        <v>37</v>
      </c>
      <c r="Q40" s="4">
        <v>9705.82</v>
      </c>
      <c r="R40" s="10" t="s">
        <v>119</v>
      </c>
      <c r="S40" t="s">
        <v>120</v>
      </c>
    </row>
    <row r="41" spans="1:19" hidden="1" x14ac:dyDescent="0.25">
      <c r="A41" t="s">
        <v>105</v>
      </c>
      <c r="B41" s="1" t="s">
        <v>121</v>
      </c>
      <c r="C41" t="s">
        <v>122</v>
      </c>
      <c r="D41" s="1">
        <v>1735548</v>
      </c>
      <c r="E41" s="4">
        <v>329.23</v>
      </c>
      <c r="F41" s="4">
        <v>9.3800000000000008</v>
      </c>
      <c r="G41" s="4">
        <v>5.68</v>
      </c>
      <c r="H41" s="4">
        <v>29.93</v>
      </c>
      <c r="J41" s="4">
        <v>3.2</v>
      </c>
      <c r="K41" s="4">
        <v>0</v>
      </c>
      <c r="L41" s="10" t="s">
        <v>45</v>
      </c>
      <c r="M41" s="4">
        <v>332.43</v>
      </c>
      <c r="N41" s="4">
        <v>299.3</v>
      </c>
      <c r="O41">
        <v>1</v>
      </c>
      <c r="P41">
        <v>1</v>
      </c>
      <c r="Q41" s="4">
        <v>0</v>
      </c>
      <c r="R41" s="10" t="s">
        <v>30</v>
      </c>
      <c r="S41" t="s">
        <v>28</v>
      </c>
    </row>
    <row r="42" spans="1:19" hidden="1" x14ac:dyDescent="0.25">
      <c r="A42" t="s">
        <v>105</v>
      </c>
      <c r="B42" s="1" t="s">
        <v>123</v>
      </c>
      <c r="C42" t="s">
        <v>124</v>
      </c>
      <c r="D42" s="1">
        <v>1057233</v>
      </c>
      <c r="E42" s="4">
        <v>794.72</v>
      </c>
      <c r="F42" s="4">
        <v>346.3</v>
      </c>
      <c r="G42" s="4">
        <v>6.15</v>
      </c>
      <c r="H42" s="4">
        <v>92.88</v>
      </c>
      <c r="J42" s="4">
        <v>3.2</v>
      </c>
      <c r="K42" s="4">
        <v>99.43</v>
      </c>
      <c r="L42" s="10" t="s">
        <v>30</v>
      </c>
      <c r="M42" s="4">
        <v>797.92</v>
      </c>
      <c r="N42" s="4">
        <v>701.84</v>
      </c>
      <c r="O42">
        <v>9</v>
      </c>
      <c r="P42">
        <v>21</v>
      </c>
      <c r="Q42" s="4">
        <v>8741.91</v>
      </c>
      <c r="R42" s="10" t="s">
        <v>125</v>
      </c>
      <c r="S42" t="s">
        <v>126</v>
      </c>
    </row>
    <row r="43" spans="1:19" hidden="1" x14ac:dyDescent="0.25">
      <c r="A43" t="s">
        <v>105</v>
      </c>
      <c r="B43" s="1" t="s">
        <v>127</v>
      </c>
      <c r="C43" t="s">
        <v>128</v>
      </c>
      <c r="D43" s="1">
        <v>1751980</v>
      </c>
      <c r="E43" s="4">
        <v>292.16000000000003</v>
      </c>
      <c r="F43" s="4">
        <v>5.29</v>
      </c>
      <c r="G43" s="4">
        <v>4.67</v>
      </c>
      <c r="H43" s="4">
        <v>48.69</v>
      </c>
      <c r="J43" s="4">
        <v>3.2</v>
      </c>
      <c r="K43" s="4">
        <v>0</v>
      </c>
      <c r="L43" s="10" t="s">
        <v>45</v>
      </c>
      <c r="M43" s="4">
        <v>295.36</v>
      </c>
      <c r="N43" s="4">
        <v>243.47</v>
      </c>
      <c r="O43">
        <v>1</v>
      </c>
      <c r="P43">
        <v>1</v>
      </c>
      <c r="Q43" s="4">
        <v>0</v>
      </c>
      <c r="R43" s="10" t="s">
        <v>64</v>
      </c>
      <c r="S43" t="s">
        <v>51</v>
      </c>
    </row>
    <row r="44" spans="1:19" hidden="1" x14ac:dyDescent="0.25">
      <c r="A44" t="s">
        <v>129</v>
      </c>
      <c r="B44" s="1" t="s">
        <v>130</v>
      </c>
      <c r="C44" t="s">
        <v>131</v>
      </c>
      <c r="D44" s="1">
        <v>49884</v>
      </c>
      <c r="E44" s="4">
        <v>329.57</v>
      </c>
      <c r="F44" s="4">
        <v>3.46</v>
      </c>
      <c r="G44" s="4">
        <v>5.39</v>
      </c>
      <c r="H44" s="4">
        <v>54.93</v>
      </c>
      <c r="J44" s="4">
        <v>3.2</v>
      </c>
      <c r="K44" s="4">
        <v>0</v>
      </c>
      <c r="L44" s="10" t="s">
        <v>33</v>
      </c>
      <c r="M44" s="4">
        <v>332.77</v>
      </c>
      <c r="N44" s="4">
        <v>274.64</v>
      </c>
      <c r="O44">
        <v>1</v>
      </c>
      <c r="P44">
        <v>1</v>
      </c>
      <c r="Q44" s="4">
        <v>0</v>
      </c>
      <c r="R44" s="10" t="s">
        <v>45</v>
      </c>
      <c r="S44" t="s">
        <v>132</v>
      </c>
    </row>
    <row r="45" spans="1:19" hidden="1" x14ac:dyDescent="0.25">
      <c r="A45" t="s">
        <v>129</v>
      </c>
      <c r="B45" s="1" t="s">
        <v>133</v>
      </c>
      <c r="C45" t="s">
        <v>134</v>
      </c>
      <c r="D45" s="1">
        <v>49900</v>
      </c>
      <c r="E45" s="4">
        <v>329.15</v>
      </c>
      <c r="F45" s="4">
        <v>3.36</v>
      </c>
      <c r="G45" s="4">
        <v>5.38</v>
      </c>
      <c r="H45" s="4">
        <v>54.86</v>
      </c>
      <c r="I45">
        <v>0.65</v>
      </c>
      <c r="J45" s="4">
        <v>3.2</v>
      </c>
      <c r="K45" s="4">
        <v>0</v>
      </c>
      <c r="L45" s="10" t="s">
        <v>33</v>
      </c>
      <c r="M45" s="4">
        <v>332.35</v>
      </c>
      <c r="N45" s="4">
        <f>Tabela112[[#This Row],[VALOR PAGO]]+Tabela112[[#This Row],[JUROS PAGOS]]-Tabela112[[#This Row],[DESPESA]]-Tabela112[[#This Row],[HONORARIO]]</f>
        <v>274.94</v>
      </c>
      <c r="O45">
        <v>1</v>
      </c>
      <c r="P45">
        <v>1</v>
      </c>
      <c r="Q45" s="4">
        <v>0</v>
      </c>
      <c r="R45" s="10" t="s">
        <v>45</v>
      </c>
      <c r="S45" t="s">
        <v>132</v>
      </c>
    </row>
    <row r="46" spans="1:19" hidden="1" x14ac:dyDescent="0.25">
      <c r="A46" t="s">
        <v>129</v>
      </c>
      <c r="B46" s="1" t="s">
        <v>135</v>
      </c>
      <c r="C46" t="s">
        <v>136</v>
      </c>
      <c r="D46" s="1">
        <v>1754015</v>
      </c>
      <c r="E46" s="4">
        <v>302.95</v>
      </c>
      <c r="F46" s="4">
        <v>5.55</v>
      </c>
      <c r="G46" s="4">
        <v>5.4</v>
      </c>
      <c r="H46" s="4">
        <v>27.54</v>
      </c>
      <c r="J46" s="4">
        <v>3.2</v>
      </c>
      <c r="K46" s="4">
        <v>0</v>
      </c>
      <c r="L46" s="10" t="s">
        <v>46</v>
      </c>
      <c r="M46" s="4">
        <v>306.14999999999998</v>
      </c>
      <c r="N46" s="4">
        <v>275.41000000000003</v>
      </c>
      <c r="O46">
        <v>1</v>
      </c>
      <c r="P46">
        <v>1</v>
      </c>
      <c r="Q46" s="4">
        <v>0</v>
      </c>
      <c r="R46" s="10" t="s">
        <v>23</v>
      </c>
      <c r="S46" t="s">
        <v>51</v>
      </c>
    </row>
    <row r="47" spans="1:19" hidden="1" x14ac:dyDescent="0.25">
      <c r="A47" t="s">
        <v>129</v>
      </c>
      <c r="B47" s="1" t="s">
        <v>137</v>
      </c>
      <c r="C47" t="s">
        <v>138</v>
      </c>
      <c r="D47" s="1">
        <v>9531</v>
      </c>
      <c r="E47" s="4">
        <v>405.22</v>
      </c>
      <c r="F47" s="4">
        <v>3.82</v>
      </c>
      <c r="G47" s="4">
        <v>6.62</v>
      </c>
      <c r="H47" s="4">
        <v>67.540000000000006</v>
      </c>
      <c r="J47" s="4">
        <v>3.2</v>
      </c>
      <c r="K47" s="4">
        <v>0</v>
      </c>
      <c r="L47" s="10" t="s">
        <v>64</v>
      </c>
      <c r="M47" s="4">
        <v>408.42</v>
      </c>
      <c r="N47" s="4">
        <v>337.68</v>
      </c>
      <c r="O47">
        <v>1</v>
      </c>
      <c r="P47">
        <v>1</v>
      </c>
      <c r="Q47" s="4">
        <v>0</v>
      </c>
      <c r="R47" s="10" t="s">
        <v>64</v>
      </c>
      <c r="S47" t="s">
        <v>139</v>
      </c>
    </row>
    <row r="48" spans="1:19" hidden="1" x14ac:dyDescent="0.25">
      <c r="A48" t="s">
        <v>140</v>
      </c>
      <c r="B48" s="1" t="s">
        <v>141</v>
      </c>
      <c r="C48" t="s">
        <v>142</v>
      </c>
      <c r="D48" s="1">
        <v>1714914</v>
      </c>
      <c r="E48" s="4">
        <v>2554.36</v>
      </c>
      <c r="F48" s="4">
        <v>112.66</v>
      </c>
      <c r="G48" s="4">
        <v>39.53</v>
      </c>
      <c r="H48" s="4">
        <v>425.73</v>
      </c>
      <c r="J48" s="4">
        <v>3.2</v>
      </c>
      <c r="K48" s="4">
        <v>0</v>
      </c>
      <c r="L48" s="10" t="s">
        <v>45</v>
      </c>
      <c r="M48" s="4">
        <v>2557.56</v>
      </c>
      <c r="N48" s="4">
        <v>2128.63</v>
      </c>
      <c r="O48">
        <v>1</v>
      </c>
      <c r="P48">
        <v>1</v>
      </c>
      <c r="Q48" s="4">
        <v>0</v>
      </c>
      <c r="R48" s="10" t="s">
        <v>45</v>
      </c>
      <c r="S48" t="s">
        <v>143</v>
      </c>
    </row>
    <row r="49" spans="1:19" hidden="1" x14ac:dyDescent="0.25">
      <c r="A49" t="s">
        <v>144</v>
      </c>
      <c r="B49" s="1" t="s">
        <v>145</v>
      </c>
      <c r="C49" t="s">
        <v>146</v>
      </c>
      <c r="D49" s="1">
        <v>1745472</v>
      </c>
      <c r="E49" s="4">
        <v>551.92999999999995</v>
      </c>
      <c r="F49" s="4">
        <v>9.57</v>
      </c>
      <c r="G49" s="4">
        <v>8.83</v>
      </c>
      <c r="H49" s="4">
        <v>91.99</v>
      </c>
      <c r="J49" s="4">
        <v>3.2</v>
      </c>
      <c r="K49" s="4">
        <v>0</v>
      </c>
      <c r="L49" s="10" t="s">
        <v>64</v>
      </c>
      <c r="M49" s="4">
        <v>555.13</v>
      </c>
      <c r="N49" s="4">
        <v>459.94</v>
      </c>
      <c r="O49">
        <v>1</v>
      </c>
      <c r="P49">
        <v>1</v>
      </c>
      <c r="Q49" s="4">
        <v>0</v>
      </c>
      <c r="R49" s="10" t="s">
        <v>64</v>
      </c>
      <c r="S49" t="s">
        <v>51</v>
      </c>
    </row>
    <row r="50" spans="1:19" hidden="1" x14ac:dyDescent="0.25">
      <c r="A50" t="s">
        <v>147</v>
      </c>
      <c r="B50" s="1" t="s">
        <v>148</v>
      </c>
      <c r="C50" t="s">
        <v>149</v>
      </c>
      <c r="D50" s="1">
        <v>1011167</v>
      </c>
      <c r="E50" s="4">
        <v>9813.2800000000007</v>
      </c>
      <c r="F50" s="4">
        <v>893.01</v>
      </c>
      <c r="G50" s="4">
        <v>214.13</v>
      </c>
      <c r="H50" s="4">
        <v>1092.04</v>
      </c>
      <c r="I50">
        <v>19.3</v>
      </c>
      <c r="J50" s="4">
        <v>3.2</v>
      </c>
      <c r="K50" s="4">
        <v>0</v>
      </c>
      <c r="L50" s="10" t="s">
        <v>23</v>
      </c>
      <c r="M50" s="4">
        <v>9816.48</v>
      </c>
      <c r="N50" s="4">
        <f>Tabela112[[#This Row],[VALOR PAGO]]+Tabela112[[#This Row],[JUROS PAGOS]]-Tabela112[[#This Row],[DESPESA]]-Tabela112[[#This Row],[HONORARIO]]</f>
        <v>8740.5399999999972</v>
      </c>
      <c r="O50">
        <v>3</v>
      </c>
      <c r="P50">
        <v>12</v>
      </c>
      <c r="Q50" s="4">
        <v>0</v>
      </c>
      <c r="R50" s="10" t="s">
        <v>150</v>
      </c>
      <c r="S50" t="s">
        <v>151</v>
      </c>
    </row>
    <row r="51" spans="1:19" hidden="1" x14ac:dyDescent="0.25">
      <c r="A51" t="s">
        <v>152</v>
      </c>
      <c r="B51" s="1" t="s">
        <v>153</v>
      </c>
      <c r="C51" t="s">
        <v>154</v>
      </c>
      <c r="D51" s="1">
        <v>1465244</v>
      </c>
      <c r="E51" s="4">
        <v>204.07</v>
      </c>
      <c r="F51" s="4">
        <v>13.68</v>
      </c>
      <c r="G51" s="4">
        <v>3.87</v>
      </c>
      <c r="H51" s="4">
        <v>10.56</v>
      </c>
      <c r="I51">
        <v>0.41</v>
      </c>
      <c r="J51" s="4">
        <v>3.2</v>
      </c>
      <c r="K51" s="4">
        <v>0</v>
      </c>
      <c r="L51" s="10" t="s">
        <v>33</v>
      </c>
      <c r="M51" s="4">
        <v>207.27</v>
      </c>
      <c r="N51" s="4">
        <f>Tabela112[[#This Row],[VALOR PAGO]]+Tabela112[[#This Row],[JUROS PAGOS]]-Tabela112[[#This Row],[DESPESA]]-Tabela112[[#This Row],[HONORARIO]]</f>
        <v>193.92000000000002</v>
      </c>
      <c r="O51">
        <v>11</v>
      </c>
      <c r="P51">
        <v>12</v>
      </c>
      <c r="Q51" s="4">
        <v>204.02</v>
      </c>
      <c r="R51" s="10" t="s">
        <v>155</v>
      </c>
      <c r="S51" t="s">
        <v>156</v>
      </c>
    </row>
    <row r="52" spans="1:19" hidden="1" x14ac:dyDescent="0.25">
      <c r="A52" t="s">
        <v>152</v>
      </c>
      <c r="B52" s="1" t="s">
        <v>157</v>
      </c>
      <c r="C52" t="s">
        <v>158</v>
      </c>
      <c r="D52" s="1">
        <v>1293614</v>
      </c>
      <c r="E52" s="4">
        <v>366.36</v>
      </c>
      <c r="F52" s="4">
        <v>26.05</v>
      </c>
      <c r="G52" s="4">
        <v>4.54</v>
      </c>
      <c r="H52" s="4">
        <v>51.26</v>
      </c>
      <c r="J52" s="4">
        <v>3.2</v>
      </c>
      <c r="K52" s="4">
        <v>74.540000000000006</v>
      </c>
      <c r="L52" s="10" t="s">
        <v>45</v>
      </c>
      <c r="M52" s="4">
        <v>369.56</v>
      </c>
      <c r="N52" s="4">
        <v>315.10000000000002</v>
      </c>
      <c r="O52">
        <v>14</v>
      </c>
      <c r="P52">
        <v>15</v>
      </c>
      <c r="Q52" s="4">
        <v>0</v>
      </c>
      <c r="R52" s="10" t="s">
        <v>159</v>
      </c>
      <c r="S52" t="s">
        <v>160</v>
      </c>
    </row>
    <row r="53" spans="1:19" hidden="1" x14ac:dyDescent="0.25">
      <c r="A53" t="s">
        <v>152</v>
      </c>
      <c r="B53" s="1" t="s">
        <v>161</v>
      </c>
      <c r="C53" t="s">
        <v>162</v>
      </c>
      <c r="D53" s="1">
        <v>1537376</v>
      </c>
      <c r="E53" s="4">
        <v>316.77</v>
      </c>
      <c r="F53" s="4">
        <v>20.149999999999999</v>
      </c>
      <c r="G53" s="4">
        <v>5.77</v>
      </c>
      <c r="H53" s="4">
        <v>31.45</v>
      </c>
      <c r="J53" s="4">
        <v>3.2</v>
      </c>
      <c r="K53" s="4">
        <v>0</v>
      </c>
      <c r="L53" s="10" t="s">
        <v>30</v>
      </c>
      <c r="M53" s="4">
        <v>319.97000000000003</v>
      </c>
      <c r="N53" s="4">
        <v>285.32</v>
      </c>
      <c r="O53">
        <v>3</v>
      </c>
      <c r="P53">
        <v>11</v>
      </c>
      <c r="Q53" s="4">
        <v>2217.4299999999998</v>
      </c>
      <c r="R53" s="10" t="s">
        <v>163</v>
      </c>
      <c r="S53" t="s">
        <v>164</v>
      </c>
    </row>
    <row r="54" spans="1:19" hidden="1" x14ac:dyDescent="0.25">
      <c r="A54" t="s">
        <v>152</v>
      </c>
      <c r="B54" s="1" t="s">
        <v>165</v>
      </c>
      <c r="C54" t="s">
        <v>166</v>
      </c>
      <c r="D54" s="1">
        <v>9752</v>
      </c>
      <c r="E54" s="4">
        <v>437.97</v>
      </c>
      <c r="F54" s="4">
        <v>0.95</v>
      </c>
      <c r="G54" s="4">
        <v>7.14</v>
      </c>
      <c r="H54" s="4">
        <v>73</v>
      </c>
      <c r="J54" s="4">
        <v>3.2</v>
      </c>
      <c r="K54" s="4">
        <v>0</v>
      </c>
      <c r="L54" s="10" t="s">
        <v>23</v>
      </c>
      <c r="M54" s="4">
        <v>441.17</v>
      </c>
      <c r="N54" s="4">
        <v>364.97</v>
      </c>
      <c r="O54">
        <v>1</v>
      </c>
      <c r="P54">
        <v>2</v>
      </c>
      <c r="Q54" s="4">
        <v>437.96</v>
      </c>
      <c r="R54" s="10" t="s">
        <v>23</v>
      </c>
      <c r="S54" t="s">
        <v>167</v>
      </c>
    </row>
    <row r="55" spans="1:19" hidden="1" x14ac:dyDescent="0.25">
      <c r="A55" t="s">
        <v>168</v>
      </c>
      <c r="B55" s="1" t="s">
        <v>169</v>
      </c>
      <c r="C55" t="s">
        <v>170</v>
      </c>
      <c r="D55" s="1">
        <v>1748903</v>
      </c>
      <c r="E55" s="4">
        <v>721.73</v>
      </c>
      <c r="F55" s="4">
        <v>14.01</v>
      </c>
      <c r="G55" s="4">
        <v>11.79</v>
      </c>
      <c r="H55" s="4">
        <v>120.29</v>
      </c>
      <c r="J55" s="4">
        <v>3.2</v>
      </c>
      <c r="K55" s="4">
        <v>0</v>
      </c>
      <c r="L55" s="10" t="s">
        <v>45</v>
      </c>
      <c r="M55" s="4">
        <v>724.93</v>
      </c>
      <c r="N55" s="4">
        <v>601.44000000000005</v>
      </c>
      <c r="O55">
        <v>1</v>
      </c>
      <c r="P55">
        <v>1</v>
      </c>
      <c r="Q55" s="4">
        <v>0</v>
      </c>
      <c r="R55" s="10" t="s">
        <v>171</v>
      </c>
      <c r="S55" t="s">
        <v>172</v>
      </c>
    </row>
    <row r="56" spans="1:19" hidden="1" x14ac:dyDescent="0.25">
      <c r="A56" t="s">
        <v>173</v>
      </c>
      <c r="B56" s="1" t="s">
        <v>174</v>
      </c>
      <c r="C56" t="s">
        <v>175</v>
      </c>
      <c r="D56" s="1">
        <v>1730002</v>
      </c>
      <c r="E56" s="4">
        <v>206.02</v>
      </c>
      <c r="F56" s="4">
        <v>7.05</v>
      </c>
      <c r="G56" s="4">
        <v>3.23</v>
      </c>
      <c r="H56" s="4">
        <v>34.340000000000003</v>
      </c>
      <c r="J56" s="4">
        <v>3.2</v>
      </c>
      <c r="K56" s="4">
        <v>0</v>
      </c>
      <c r="L56" s="10" t="s">
        <v>30</v>
      </c>
      <c r="M56" s="4">
        <v>209.22</v>
      </c>
      <c r="N56" s="4">
        <v>171.68</v>
      </c>
      <c r="O56">
        <v>1</v>
      </c>
      <c r="P56">
        <v>1</v>
      </c>
      <c r="Q56" s="4">
        <v>0</v>
      </c>
      <c r="R56" s="10" t="s">
        <v>64</v>
      </c>
      <c r="S56" t="s">
        <v>176</v>
      </c>
    </row>
    <row r="57" spans="1:19" hidden="1" x14ac:dyDescent="0.25">
      <c r="A57" t="s">
        <v>173</v>
      </c>
      <c r="B57" s="1" t="s">
        <v>177</v>
      </c>
      <c r="C57" t="s">
        <v>178</v>
      </c>
      <c r="D57" s="1">
        <v>555590</v>
      </c>
      <c r="E57" s="4">
        <v>97.43</v>
      </c>
      <c r="F57" s="4">
        <v>36.31</v>
      </c>
      <c r="G57" s="4" t="s">
        <v>179</v>
      </c>
      <c r="H57" s="4">
        <v>7.96</v>
      </c>
      <c r="J57" s="4">
        <v>3.2</v>
      </c>
      <c r="K57" s="4">
        <v>9.89</v>
      </c>
      <c r="L57" s="10" t="s">
        <v>33</v>
      </c>
      <c r="M57" s="4">
        <v>100.63</v>
      </c>
      <c r="N57" s="4">
        <v>89.47</v>
      </c>
      <c r="O57">
        <v>35</v>
      </c>
      <c r="P57">
        <v>90</v>
      </c>
      <c r="Q57" s="4">
        <v>5261.52</v>
      </c>
      <c r="R57" s="10" t="s">
        <v>180</v>
      </c>
      <c r="S57" t="s">
        <v>181</v>
      </c>
    </row>
    <row r="58" spans="1:19" hidden="1" x14ac:dyDescent="0.25">
      <c r="A58" t="s">
        <v>173</v>
      </c>
      <c r="B58" s="1" t="s">
        <v>182</v>
      </c>
      <c r="C58" t="s">
        <v>183</v>
      </c>
      <c r="D58" s="1">
        <v>1730019</v>
      </c>
      <c r="E58" s="4">
        <v>197.43</v>
      </c>
      <c r="F58" s="4">
        <v>7.05</v>
      </c>
      <c r="G58" s="4">
        <v>3.23</v>
      </c>
      <c r="H58" s="4">
        <v>25.75</v>
      </c>
      <c r="J58" s="4">
        <v>3.2</v>
      </c>
      <c r="K58" s="4">
        <v>0</v>
      </c>
      <c r="L58" s="10" t="s">
        <v>33</v>
      </c>
      <c r="M58" s="4">
        <v>200.63</v>
      </c>
      <c r="N58" s="4">
        <v>171.68</v>
      </c>
      <c r="O58">
        <v>1</v>
      </c>
      <c r="P58">
        <v>1</v>
      </c>
      <c r="Q58" s="4">
        <v>0</v>
      </c>
      <c r="R58" s="10" t="s">
        <v>81</v>
      </c>
      <c r="S58" t="s">
        <v>176</v>
      </c>
    </row>
    <row r="59" spans="1:19" hidden="1" x14ac:dyDescent="0.25">
      <c r="A59" t="s">
        <v>173</v>
      </c>
      <c r="B59" s="1" t="s">
        <v>184</v>
      </c>
      <c r="C59" t="s">
        <v>185</v>
      </c>
      <c r="D59" s="1">
        <v>1576962</v>
      </c>
      <c r="E59" s="4">
        <v>324.04000000000002</v>
      </c>
      <c r="F59" s="4">
        <v>37.94</v>
      </c>
      <c r="G59" s="4">
        <v>5.26</v>
      </c>
      <c r="H59" s="4">
        <v>61.21</v>
      </c>
      <c r="J59" s="4">
        <v>3.2</v>
      </c>
      <c r="K59" s="4">
        <v>0</v>
      </c>
      <c r="L59" s="10" t="s">
        <v>30</v>
      </c>
      <c r="M59" s="4">
        <v>327.24</v>
      </c>
      <c r="N59" s="4">
        <v>262.83</v>
      </c>
      <c r="O59">
        <v>1</v>
      </c>
      <c r="P59">
        <v>1</v>
      </c>
      <c r="Q59" s="4">
        <v>0</v>
      </c>
      <c r="R59" s="10" t="s">
        <v>64</v>
      </c>
      <c r="S59" t="s">
        <v>186</v>
      </c>
    </row>
    <row r="60" spans="1:19" hidden="1" x14ac:dyDescent="0.25">
      <c r="A60" t="s">
        <v>187</v>
      </c>
      <c r="B60" s="1">
        <v>30102</v>
      </c>
      <c r="C60" t="s">
        <v>188</v>
      </c>
      <c r="D60" s="1">
        <v>1227523</v>
      </c>
      <c r="E60" s="4">
        <v>500</v>
      </c>
      <c r="F60" s="4">
        <v>42.97</v>
      </c>
      <c r="G60" s="4">
        <v>2.93</v>
      </c>
      <c r="H60" s="4">
        <v>111.79</v>
      </c>
      <c r="J60" s="4">
        <v>3.2</v>
      </c>
      <c r="K60" s="4">
        <v>0</v>
      </c>
      <c r="L60" s="10" t="s">
        <v>64</v>
      </c>
      <c r="M60" s="4">
        <v>503.2</v>
      </c>
      <c r="N60" s="4">
        <v>388.21</v>
      </c>
      <c r="O60">
        <v>1</v>
      </c>
      <c r="P60">
        <v>11</v>
      </c>
      <c r="Q60" s="4">
        <v>967.92</v>
      </c>
      <c r="R60" s="10" t="s">
        <v>64</v>
      </c>
      <c r="S60" t="s">
        <v>189</v>
      </c>
    </row>
    <row r="61" spans="1:19" hidden="1" x14ac:dyDescent="0.25">
      <c r="A61" t="s">
        <v>187</v>
      </c>
      <c r="B61" s="1">
        <v>35101</v>
      </c>
      <c r="C61" t="s">
        <v>190</v>
      </c>
      <c r="D61" s="1">
        <v>1634004</v>
      </c>
      <c r="E61" s="4">
        <v>196</v>
      </c>
      <c r="F61" s="4">
        <v>5.75</v>
      </c>
      <c r="G61" s="4">
        <v>3.2</v>
      </c>
      <c r="H61" s="4">
        <v>32.67</v>
      </c>
      <c r="I61">
        <v>5.7</v>
      </c>
      <c r="J61" s="4">
        <v>3.2</v>
      </c>
      <c r="K61" s="4">
        <v>0</v>
      </c>
      <c r="L61" s="10" t="s">
        <v>45</v>
      </c>
      <c r="M61" s="4">
        <v>199.2</v>
      </c>
      <c r="N61" s="4">
        <f>Tabela112[[#This Row],[VALOR PAGO]]+Tabela112[[#This Row],[JUROS PAGOS]]-Tabela112[[#This Row],[DESPESA]]-Tabela112[[#This Row],[HONORARIO]]</f>
        <v>169.02999999999997</v>
      </c>
      <c r="O61">
        <v>1</v>
      </c>
      <c r="P61">
        <v>8</v>
      </c>
      <c r="Q61" s="4">
        <v>1372.02</v>
      </c>
      <c r="R61" s="10" t="s">
        <v>191</v>
      </c>
      <c r="S61" t="s">
        <v>192</v>
      </c>
    </row>
    <row r="62" spans="1:19" hidden="1" x14ac:dyDescent="0.25">
      <c r="A62" t="s">
        <v>187</v>
      </c>
      <c r="B62" s="1">
        <v>12402</v>
      </c>
      <c r="C62" t="s">
        <v>193</v>
      </c>
      <c r="D62" s="1">
        <v>1749664</v>
      </c>
      <c r="E62" s="4">
        <v>253.69</v>
      </c>
      <c r="F62" s="4">
        <v>4.0599999999999996</v>
      </c>
      <c r="G62" s="4">
        <v>4.1500000000000004</v>
      </c>
      <c r="H62" s="4">
        <v>42.28</v>
      </c>
      <c r="J62" s="4">
        <v>3.2</v>
      </c>
      <c r="K62" s="4">
        <v>0</v>
      </c>
      <c r="L62" s="10" t="s">
        <v>30</v>
      </c>
      <c r="M62" s="4">
        <v>256.89</v>
      </c>
      <c r="N62" s="4">
        <v>211.41</v>
      </c>
      <c r="O62">
        <v>1</v>
      </c>
      <c r="P62">
        <v>1</v>
      </c>
      <c r="Q62" s="4">
        <v>0</v>
      </c>
      <c r="R62" s="10" t="s">
        <v>30</v>
      </c>
      <c r="S62" t="s">
        <v>194</v>
      </c>
    </row>
    <row r="63" spans="1:19" hidden="1" x14ac:dyDescent="0.25">
      <c r="A63" t="s">
        <v>187</v>
      </c>
      <c r="B63" s="1">
        <v>10402</v>
      </c>
      <c r="C63" t="s">
        <v>195</v>
      </c>
      <c r="D63" s="1">
        <v>1078897</v>
      </c>
      <c r="E63" s="4">
        <v>145.79</v>
      </c>
      <c r="F63" s="4">
        <v>25.88</v>
      </c>
      <c r="G63" s="4">
        <v>2.69</v>
      </c>
      <c r="H63" s="4">
        <v>13.7</v>
      </c>
      <c r="J63" s="4">
        <v>3.2</v>
      </c>
      <c r="K63" s="4">
        <v>0</v>
      </c>
      <c r="L63" s="10" t="s">
        <v>30</v>
      </c>
      <c r="M63" s="4">
        <v>148.99</v>
      </c>
      <c r="N63" s="4">
        <v>132.09</v>
      </c>
      <c r="O63">
        <v>8</v>
      </c>
      <c r="P63">
        <v>70</v>
      </c>
      <c r="Q63" s="4">
        <v>9038.9599999999991</v>
      </c>
      <c r="R63" s="10" t="s">
        <v>196</v>
      </c>
      <c r="S63" t="s">
        <v>197</v>
      </c>
    </row>
    <row r="64" spans="1:19" hidden="1" x14ac:dyDescent="0.25">
      <c r="A64" t="s">
        <v>187</v>
      </c>
      <c r="B64" s="1">
        <v>20202</v>
      </c>
      <c r="C64" t="s">
        <v>198</v>
      </c>
      <c r="D64" s="1">
        <v>1242525</v>
      </c>
      <c r="E64" s="4">
        <v>186</v>
      </c>
      <c r="F64" s="4">
        <v>29.2</v>
      </c>
      <c r="G64" s="4">
        <v>4.13</v>
      </c>
      <c r="H64" s="4">
        <v>21.08</v>
      </c>
      <c r="I64">
        <v>1.85</v>
      </c>
      <c r="J64" s="4">
        <v>3.2</v>
      </c>
      <c r="K64" s="4">
        <v>0</v>
      </c>
      <c r="L64" s="10" t="s">
        <v>33</v>
      </c>
      <c r="M64" s="4">
        <v>189.2</v>
      </c>
      <c r="N64" s="4">
        <f>Tabela112[[#This Row],[VALOR PAGO]]+Tabela112[[#This Row],[JUROS PAGOS]]-Tabela112[[#This Row],[DESPESA]]-Tabela112[[#This Row],[HONORARIO]]</f>
        <v>166.76999999999998</v>
      </c>
      <c r="O64">
        <v>11</v>
      </c>
      <c r="P64">
        <v>25</v>
      </c>
      <c r="Q64" s="4">
        <v>2604.09</v>
      </c>
      <c r="R64" s="10" t="s">
        <v>199</v>
      </c>
      <c r="S64" t="s">
        <v>200</v>
      </c>
    </row>
    <row r="65" spans="1:19" hidden="1" x14ac:dyDescent="0.25">
      <c r="A65" t="s">
        <v>187</v>
      </c>
      <c r="B65" s="1">
        <v>19201</v>
      </c>
      <c r="C65" t="s">
        <v>201</v>
      </c>
      <c r="D65" s="1">
        <v>1759075</v>
      </c>
      <c r="E65" s="4">
        <v>247.8</v>
      </c>
      <c r="F65" s="4">
        <v>2.33</v>
      </c>
      <c r="G65" s="4">
        <v>4.05</v>
      </c>
      <c r="H65" s="4">
        <v>41.3</v>
      </c>
      <c r="J65" s="4">
        <v>3.2</v>
      </c>
      <c r="K65" s="4">
        <v>0</v>
      </c>
      <c r="L65" s="10" t="s">
        <v>33</v>
      </c>
      <c r="M65" s="4">
        <v>251</v>
      </c>
      <c r="N65" s="4">
        <v>206.5</v>
      </c>
      <c r="O65">
        <v>1</v>
      </c>
      <c r="P65">
        <v>1</v>
      </c>
      <c r="Q65" s="4">
        <v>0</v>
      </c>
      <c r="R65" s="10" t="s">
        <v>33</v>
      </c>
      <c r="S65" t="s">
        <v>202</v>
      </c>
    </row>
    <row r="66" spans="1:19" hidden="1" x14ac:dyDescent="0.25">
      <c r="A66" t="s">
        <v>187</v>
      </c>
      <c r="B66" s="1">
        <v>16102</v>
      </c>
      <c r="C66" t="s">
        <v>203</v>
      </c>
      <c r="D66" s="1">
        <v>1016923</v>
      </c>
      <c r="E66" s="4">
        <v>267.47000000000003</v>
      </c>
      <c r="F66" s="4">
        <v>93.68</v>
      </c>
      <c r="G66" s="4">
        <v>8</v>
      </c>
      <c r="H66" s="4">
        <v>40.79</v>
      </c>
      <c r="J66" s="4">
        <v>3.2</v>
      </c>
      <c r="K66" s="4">
        <v>0</v>
      </c>
      <c r="L66" s="10" t="s">
        <v>81</v>
      </c>
      <c r="M66" s="4">
        <v>276.08</v>
      </c>
      <c r="N66" s="4">
        <v>235.29</v>
      </c>
      <c r="O66">
        <v>8</v>
      </c>
      <c r="P66">
        <v>18</v>
      </c>
      <c r="Q66" s="4">
        <v>2674.7</v>
      </c>
      <c r="R66" s="10" t="s">
        <v>204</v>
      </c>
      <c r="S66" t="s">
        <v>205</v>
      </c>
    </row>
    <row r="67" spans="1:19" hidden="1" x14ac:dyDescent="0.25">
      <c r="A67" t="s">
        <v>187</v>
      </c>
      <c r="B67" s="1" t="s">
        <v>206</v>
      </c>
      <c r="C67" t="s">
        <v>207</v>
      </c>
      <c r="D67" s="1">
        <v>1078855</v>
      </c>
      <c r="E67" s="4">
        <v>294.63</v>
      </c>
      <c r="F67" s="4">
        <v>56.64</v>
      </c>
      <c r="G67" s="4">
        <v>6.52</v>
      </c>
      <c r="H67" s="4">
        <v>33.24</v>
      </c>
      <c r="J67" s="4">
        <v>3.2</v>
      </c>
      <c r="K67" s="4">
        <v>0</v>
      </c>
      <c r="L67" s="10" t="s">
        <v>33</v>
      </c>
      <c r="M67" s="4">
        <v>297.83</v>
      </c>
      <c r="N67" s="4">
        <v>261.39</v>
      </c>
      <c r="O67">
        <v>13</v>
      </c>
      <c r="P67">
        <v>26</v>
      </c>
      <c r="Q67" s="4">
        <v>3830.1</v>
      </c>
      <c r="R67" s="10" t="s">
        <v>208</v>
      </c>
      <c r="S67" t="s">
        <v>209</v>
      </c>
    </row>
    <row r="68" spans="1:19" hidden="1" x14ac:dyDescent="0.25">
      <c r="A68" t="s">
        <v>187</v>
      </c>
      <c r="B68" s="1">
        <v>23201</v>
      </c>
      <c r="C68" t="s">
        <v>210</v>
      </c>
      <c r="D68" s="1">
        <v>1293962</v>
      </c>
      <c r="E68" s="4">
        <v>152.53</v>
      </c>
      <c r="F68" s="4">
        <v>18.690000000000001</v>
      </c>
      <c r="G68" s="4">
        <v>3.11</v>
      </c>
      <c r="H68" s="4">
        <v>15.85</v>
      </c>
      <c r="J68" s="4">
        <v>3.2</v>
      </c>
      <c r="K68" s="4">
        <v>0</v>
      </c>
      <c r="L68" s="10" t="s">
        <v>33</v>
      </c>
      <c r="M68" s="4">
        <v>155.72999999999999</v>
      </c>
      <c r="N68" s="4">
        <v>136.68</v>
      </c>
      <c r="O68">
        <v>11</v>
      </c>
      <c r="P68">
        <v>25</v>
      </c>
      <c r="Q68" s="4">
        <v>2135.54</v>
      </c>
      <c r="R68" s="10" t="s">
        <v>211</v>
      </c>
      <c r="S68" t="s">
        <v>212</v>
      </c>
    </row>
    <row r="69" spans="1:19" hidden="1" x14ac:dyDescent="0.25">
      <c r="A69" t="s">
        <v>187</v>
      </c>
      <c r="B69" s="1">
        <v>26401</v>
      </c>
      <c r="C69" t="s">
        <v>213</v>
      </c>
      <c r="D69" s="1">
        <v>1242299</v>
      </c>
      <c r="E69" s="4">
        <v>98.61</v>
      </c>
      <c r="F69" s="4">
        <v>17.53</v>
      </c>
      <c r="G69" s="4">
        <v>2.11</v>
      </c>
      <c r="H69" s="4">
        <v>10.75</v>
      </c>
      <c r="I69">
        <v>0.6</v>
      </c>
      <c r="J69" s="4">
        <v>3.2</v>
      </c>
      <c r="K69" s="4">
        <v>21.12</v>
      </c>
      <c r="L69" s="10" t="s">
        <v>46</v>
      </c>
      <c r="M69" s="4">
        <v>101.81</v>
      </c>
      <c r="N69" s="4">
        <f>Tabela112[[#This Row],[VALOR PAGO]]+Tabela112[[#This Row],[JUROS PAGOS]]-Tabela112[[#This Row],[DESPESA]]-Tabela112[[#This Row],[HONORARIO]]</f>
        <v>88.46</v>
      </c>
      <c r="O69">
        <v>6</v>
      </c>
      <c r="P69">
        <v>41</v>
      </c>
      <c r="Q69" s="4">
        <v>3451.55</v>
      </c>
      <c r="R69" s="10" t="s">
        <v>214</v>
      </c>
      <c r="S69" t="s">
        <v>215</v>
      </c>
    </row>
    <row r="70" spans="1:19" hidden="1" x14ac:dyDescent="0.25">
      <c r="A70" t="s">
        <v>187</v>
      </c>
      <c r="B70" s="1">
        <v>26401</v>
      </c>
      <c r="C70" t="s">
        <v>213</v>
      </c>
      <c r="D70" s="1">
        <v>1734803</v>
      </c>
      <c r="E70" s="4">
        <v>264.73</v>
      </c>
      <c r="F70" s="4">
        <v>6.37</v>
      </c>
      <c r="G70" s="4">
        <v>4.33</v>
      </c>
      <c r="H70" s="4">
        <v>44.12</v>
      </c>
      <c r="J70" s="4">
        <v>3.2</v>
      </c>
      <c r="K70" s="4">
        <v>0</v>
      </c>
      <c r="L70" s="10" t="s">
        <v>46</v>
      </c>
      <c r="M70" s="4">
        <v>267.93</v>
      </c>
      <c r="N70" s="4">
        <v>220.61</v>
      </c>
      <c r="O70">
        <v>1</v>
      </c>
      <c r="P70">
        <v>1</v>
      </c>
      <c r="Q70" s="4">
        <v>0</v>
      </c>
      <c r="R70" s="10" t="s">
        <v>171</v>
      </c>
      <c r="S70" t="s">
        <v>216</v>
      </c>
    </row>
    <row r="71" spans="1:19" hidden="1" x14ac:dyDescent="0.25">
      <c r="A71" t="s">
        <v>187</v>
      </c>
      <c r="B71" s="1">
        <v>28402</v>
      </c>
      <c r="C71" t="s">
        <v>217</v>
      </c>
      <c r="D71" s="1"/>
      <c r="E71" s="4">
        <v>276.5</v>
      </c>
      <c r="F71" s="4">
        <v>61.64</v>
      </c>
      <c r="G71" s="4">
        <v>4.5</v>
      </c>
      <c r="H71" s="4">
        <v>47.24</v>
      </c>
      <c r="J71" s="4">
        <v>3.2</v>
      </c>
      <c r="K71" s="4">
        <v>0</v>
      </c>
      <c r="L71" s="10" t="s">
        <v>81</v>
      </c>
      <c r="M71" s="4">
        <v>279.7</v>
      </c>
      <c r="N71" s="4">
        <v>232.46</v>
      </c>
      <c r="O71">
        <v>24</v>
      </c>
      <c r="P71">
        <v>24</v>
      </c>
      <c r="Q71" s="4">
        <v>0</v>
      </c>
      <c r="R71" s="10" t="s">
        <v>218</v>
      </c>
      <c r="S71" t="s">
        <v>219</v>
      </c>
    </row>
    <row r="72" spans="1:19" hidden="1" x14ac:dyDescent="0.25">
      <c r="A72" t="s">
        <v>187</v>
      </c>
      <c r="B72" s="1">
        <v>28402</v>
      </c>
      <c r="C72" t="s">
        <v>217</v>
      </c>
      <c r="D72" s="1">
        <v>1749528</v>
      </c>
      <c r="E72" s="4">
        <v>251.33</v>
      </c>
      <c r="F72" s="4">
        <v>4.29</v>
      </c>
      <c r="G72" s="4">
        <v>4.1100000000000003</v>
      </c>
      <c r="H72" s="4">
        <v>41.89</v>
      </c>
      <c r="J72" s="4">
        <v>3.2</v>
      </c>
      <c r="K72" s="4">
        <v>0</v>
      </c>
      <c r="L72" s="10" t="s">
        <v>81</v>
      </c>
      <c r="M72" s="4">
        <v>251.33</v>
      </c>
      <c r="N72" s="4">
        <v>209.44</v>
      </c>
      <c r="O72">
        <v>1</v>
      </c>
      <c r="P72">
        <v>1</v>
      </c>
      <c r="Q72" s="4">
        <v>0</v>
      </c>
      <c r="R72" s="10" t="s">
        <v>81</v>
      </c>
      <c r="S72" t="s">
        <v>194</v>
      </c>
    </row>
    <row r="73" spans="1:19" hidden="1" x14ac:dyDescent="0.25">
      <c r="A73" t="s">
        <v>187</v>
      </c>
      <c r="B73" s="1">
        <v>20401</v>
      </c>
      <c r="C73" t="s">
        <v>220</v>
      </c>
      <c r="D73" s="1">
        <v>1652258</v>
      </c>
      <c r="E73" s="4">
        <v>141.03</v>
      </c>
      <c r="F73" s="4">
        <v>4.07</v>
      </c>
      <c r="G73" s="4">
        <v>2.5099999999999998</v>
      </c>
      <c r="H73" s="4">
        <v>12.82</v>
      </c>
      <c r="J73" s="4">
        <v>3.2</v>
      </c>
      <c r="K73" s="4">
        <v>0</v>
      </c>
      <c r="L73" s="10" t="s">
        <v>46</v>
      </c>
      <c r="M73" s="4">
        <v>144.22999999999999</v>
      </c>
      <c r="N73" s="4">
        <v>128.21</v>
      </c>
      <c r="O73">
        <v>5</v>
      </c>
      <c r="P73">
        <v>5</v>
      </c>
      <c r="Q73" s="4">
        <v>0</v>
      </c>
      <c r="R73" s="10" t="s">
        <v>221</v>
      </c>
      <c r="S73" t="s">
        <v>222</v>
      </c>
    </row>
    <row r="74" spans="1:19" hidden="1" x14ac:dyDescent="0.25">
      <c r="A74" t="s">
        <v>187</v>
      </c>
      <c r="B74" s="1">
        <v>33202</v>
      </c>
      <c r="C74" t="s">
        <v>223</v>
      </c>
      <c r="D74" s="1">
        <v>1758957</v>
      </c>
      <c r="E74" s="4">
        <v>252.5</v>
      </c>
      <c r="F74" s="4">
        <v>1.91</v>
      </c>
      <c r="G74" s="4">
        <v>4.13</v>
      </c>
      <c r="H74" s="4">
        <v>42.08</v>
      </c>
      <c r="J74" s="4">
        <v>3.2</v>
      </c>
      <c r="K74" s="4">
        <v>0</v>
      </c>
      <c r="L74" s="10" t="s">
        <v>46</v>
      </c>
      <c r="M74" s="4">
        <v>255.7</v>
      </c>
      <c r="N74" s="4">
        <v>210.42</v>
      </c>
      <c r="O74">
        <v>1</v>
      </c>
      <c r="P74">
        <v>1</v>
      </c>
      <c r="Q74" s="4">
        <v>0</v>
      </c>
      <c r="R74" s="10" t="s">
        <v>46</v>
      </c>
      <c r="S74" t="s">
        <v>202</v>
      </c>
    </row>
    <row r="75" spans="1:19" hidden="1" x14ac:dyDescent="0.25">
      <c r="A75" t="s">
        <v>187</v>
      </c>
      <c r="B75" s="1">
        <v>33201</v>
      </c>
      <c r="C75" t="s">
        <v>224</v>
      </c>
      <c r="D75" s="1">
        <v>1749622</v>
      </c>
      <c r="E75" s="4">
        <v>251.41</v>
      </c>
      <c r="F75" s="4">
        <v>4.3600000000000003</v>
      </c>
      <c r="G75" s="4">
        <v>4.1100000000000003</v>
      </c>
      <c r="H75" s="4">
        <v>41.9</v>
      </c>
      <c r="J75" s="4">
        <v>3.2</v>
      </c>
      <c r="K75" s="4">
        <v>0</v>
      </c>
      <c r="L75" s="10" t="s">
        <v>81</v>
      </c>
      <c r="M75" s="4">
        <v>254.61</v>
      </c>
      <c r="N75" s="4">
        <v>209.51</v>
      </c>
      <c r="O75">
        <v>1</v>
      </c>
      <c r="P75">
        <v>1</v>
      </c>
      <c r="Q75" s="4">
        <v>0</v>
      </c>
      <c r="R75" s="10" t="s">
        <v>171</v>
      </c>
      <c r="S75" t="s">
        <v>194</v>
      </c>
    </row>
    <row r="76" spans="1:19" hidden="1" x14ac:dyDescent="0.25">
      <c r="A76" t="s">
        <v>225</v>
      </c>
      <c r="B76" s="1" t="s">
        <v>226</v>
      </c>
      <c r="C76" t="s">
        <v>227</v>
      </c>
      <c r="D76" s="1">
        <v>661938</v>
      </c>
      <c r="E76" s="4">
        <v>332.59</v>
      </c>
      <c r="F76" s="4">
        <v>161.4</v>
      </c>
      <c r="G76" s="4">
        <v>7.82</v>
      </c>
      <c r="H76" s="4">
        <v>39.880000000000003</v>
      </c>
      <c r="J76" s="4">
        <v>3.2</v>
      </c>
      <c r="K76" s="4">
        <v>0</v>
      </c>
      <c r="L76" s="10" t="s">
        <v>30</v>
      </c>
      <c r="M76" s="4">
        <v>335.79</v>
      </c>
      <c r="N76" s="4">
        <v>292.70999999999998</v>
      </c>
      <c r="O76">
        <v>7</v>
      </c>
      <c r="P76">
        <v>11</v>
      </c>
      <c r="Q76" s="4">
        <v>1330.32</v>
      </c>
      <c r="R76" s="10" t="s">
        <v>228</v>
      </c>
      <c r="S76" t="s">
        <v>229</v>
      </c>
    </row>
    <row r="77" spans="1:19" hidden="1" x14ac:dyDescent="0.25">
      <c r="A77" t="s">
        <v>225</v>
      </c>
      <c r="B77" s="1" t="s">
        <v>230</v>
      </c>
      <c r="C77" t="s">
        <v>231</v>
      </c>
      <c r="D77" s="1">
        <v>1001648</v>
      </c>
      <c r="E77" s="4">
        <v>101.15</v>
      </c>
      <c r="F77" s="4">
        <v>17.649999999999999</v>
      </c>
      <c r="G77" s="4">
        <v>1.93</v>
      </c>
      <c r="H77" s="4">
        <v>9.83</v>
      </c>
      <c r="I77">
        <v>0.4</v>
      </c>
      <c r="J77" s="4">
        <v>3.2</v>
      </c>
      <c r="K77" s="4">
        <v>0</v>
      </c>
      <c r="L77" s="10" t="s">
        <v>23</v>
      </c>
      <c r="M77" s="4">
        <v>104.35</v>
      </c>
      <c r="N77" s="4">
        <f>Tabela112[[#This Row],[VALOR PAGO]]+Tabela112[[#This Row],[JUROS PAGOS]]-Tabela112[[#This Row],[DESPESA]]-Tabela112[[#This Row],[HONORARIO]]</f>
        <v>91.72</v>
      </c>
      <c r="O77">
        <v>12</v>
      </c>
      <c r="P77">
        <v>36</v>
      </c>
      <c r="Q77" s="4">
        <v>2427.65</v>
      </c>
      <c r="R77" s="10" t="s">
        <v>232</v>
      </c>
      <c r="S77" t="s">
        <v>233</v>
      </c>
    </row>
    <row r="78" spans="1:19" hidden="1" x14ac:dyDescent="0.25">
      <c r="A78" t="s">
        <v>225</v>
      </c>
      <c r="B78" s="1">
        <v>11204</v>
      </c>
      <c r="C78" t="s">
        <v>234</v>
      </c>
      <c r="D78" s="1">
        <v>652419</v>
      </c>
      <c r="E78" s="4">
        <v>293.68</v>
      </c>
      <c r="F78" s="4">
        <v>122.34</v>
      </c>
      <c r="G78" s="4">
        <v>5.96</v>
      </c>
      <c r="H78" s="4">
        <v>30.4</v>
      </c>
      <c r="J78" s="4">
        <v>3.2</v>
      </c>
      <c r="K78" s="4">
        <v>0</v>
      </c>
      <c r="L78" s="10" t="s">
        <v>30</v>
      </c>
      <c r="M78" s="4">
        <v>296.88</v>
      </c>
      <c r="N78" s="4">
        <v>263.27999999999997</v>
      </c>
      <c r="O78">
        <v>7</v>
      </c>
      <c r="P78">
        <v>37</v>
      </c>
      <c r="Q78" s="4">
        <v>8810.5300000000007</v>
      </c>
      <c r="R78" s="10" t="s">
        <v>235</v>
      </c>
      <c r="S78" t="s">
        <v>236</v>
      </c>
    </row>
    <row r="79" spans="1:19" hidden="1" x14ac:dyDescent="0.25">
      <c r="A79" t="s">
        <v>225</v>
      </c>
      <c r="B79" s="1">
        <v>13403</v>
      </c>
      <c r="C79" t="s">
        <v>237</v>
      </c>
      <c r="D79" s="1">
        <v>1001617</v>
      </c>
      <c r="E79" s="4">
        <v>223.72</v>
      </c>
      <c r="F79" s="4">
        <v>55.05</v>
      </c>
      <c r="G79" s="4">
        <v>4.3600000000000003</v>
      </c>
      <c r="H79" s="4">
        <v>22.25</v>
      </c>
      <c r="J79" s="4">
        <v>3.2</v>
      </c>
      <c r="K79" s="4">
        <v>0</v>
      </c>
      <c r="L79" s="10" t="s">
        <v>45</v>
      </c>
      <c r="M79" s="4">
        <v>226.92</v>
      </c>
      <c r="N79" s="4">
        <v>201.47</v>
      </c>
      <c r="O79">
        <v>15</v>
      </c>
      <c r="P79">
        <v>37</v>
      </c>
      <c r="Q79" s="4">
        <v>4921.83</v>
      </c>
      <c r="R79" s="10" t="s">
        <v>238</v>
      </c>
      <c r="S79" t="s">
        <v>239</v>
      </c>
    </row>
    <row r="80" spans="1:19" hidden="1" x14ac:dyDescent="0.25">
      <c r="A80" t="s">
        <v>240</v>
      </c>
      <c r="B80" s="1" t="s">
        <v>241</v>
      </c>
      <c r="C80" t="s">
        <v>242</v>
      </c>
      <c r="D80" s="1">
        <v>1671822</v>
      </c>
      <c r="E80" s="4">
        <v>344.52</v>
      </c>
      <c r="F80" s="4">
        <v>18.78</v>
      </c>
      <c r="G80" s="4">
        <v>9.23</v>
      </c>
      <c r="H80" s="4">
        <v>47.07</v>
      </c>
      <c r="J80" s="4">
        <v>3.2</v>
      </c>
      <c r="K80" s="4">
        <v>0</v>
      </c>
      <c r="L80" s="10" t="s">
        <v>45</v>
      </c>
      <c r="M80" s="4">
        <v>356.76</v>
      </c>
      <c r="N80" s="4">
        <v>309.69</v>
      </c>
      <c r="O80">
        <v>1</v>
      </c>
      <c r="P80">
        <v>4</v>
      </c>
      <c r="Q80" s="4">
        <v>689.04</v>
      </c>
      <c r="R80" s="10" t="s">
        <v>243</v>
      </c>
      <c r="S80" t="s">
        <v>244</v>
      </c>
    </row>
    <row r="81" spans="1:19" hidden="1" x14ac:dyDescent="0.25">
      <c r="A81" t="s">
        <v>240</v>
      </c>
      <c r="B81" s="1" t="s">
        <v>245</v>
      </c>
      <c r="C81" t="s">
        <v>246</v>
      </c>
      <c r="D81" s="1">
        <v>1756984</v>
      </c>
      <c r="E81" s="4">
        <v>363.16</v>
      </c>
      <c r="F81" s="4">
        <v>3.77</v>
      </c>
      <c r="G81" s="4">
        <v>6.19</v>
      </c>
      <c r="H81" s="4">
        <v>47.37</v>
      </c>
      <c r="J81" s="4">
        <v>3.2</v>
      </c>
      <c r="K81" s="4">
        <v>0</v>
      </c>
      <c r="L81" s="10" t="s">
        <v>45</v>
      </c>
      <c r="M81" s="4">
        <v>366.36</v>
      </c>
      <c r="N81" s="4">
        <v>315.79000000000002</v>
      </c>
      <c r="O81">
        <v>1</v>
      </c>
      <c r="P81">
        <v>1</v>
      </c>
      <c r="Q81" s="4">
        <v>0</v>
      </c>
      <c r="R81" s="10" t="s">
        <v>30</v>
      </c>
      <c r="S81" t="s">
        <v>132</v>
      </c>
    </row>
    <row r="82" spans="1:19" hidden="1" x14ac:dyDescent="0.25">
      <c r="A82" t="s">
        <v>240</v>
      </c>
      <c r="B82" s="1" t="s">
        <v>165</v>
      </c>
      <c r="C82" t="s">
        <v>247</v>
      </c>
      <c r="D82" s="1">
        <v>1756994</v>
      </c>
      <c r="E82" s="4">
        <v>355.89</v>
      </c>
      <c r="F82" s="4">
        <v>3.4</v>
      </c>
      <c r="G82" s="4">
        <v>6.07</v>
      </c>
      <c r="H82" s="4">
        <v>46.42</v>
      </c>
      <c r="J82" s="4">
        <v>3.2</v>
      </c>
      <c r="K82" s="4">
        <v>0</v>
      </c>
      <c r="L82" s="10" t="s">
        <v>64</v>
      </c>
      <c r="M82" s="4">
        <v>359.09</v>
      </c>
      <c r="N82" s="4">
        <v>309.47000000000003</v>
      </c>
      <c r="O82">
        <v>1</v>
      </c>
      <c r="P82">
        <v>1</v>
      </c>
      <c r="Q82" s="4">
        <v>0</v>
      </c>
      <c r="R82" s="10" t="s">
        <v>64</v>
      </c>
      <c r="S82" t="s">
        <v>132</v>
      </c>
    </row>
    <row r="83" spans="1:19" hidden="1" x14ac:dyDescent="0.25">
      <c r="A83" t="s">
        <v>240</v>
      </c>
      <c r="B83" s="1">
        <v>12303</v>
      </c>
      <c r="C83" t="s">
        <v>248</v>
      </c>
      <c r="D83" s="1">
        <v>1757107</v>
      </c>
      <c r="E83" s="4">
        <v>347.04</v>
      </c>
      <c r="F83" s="4">
        <v>3.47</v>
      </c>
      <c r="G83" s="4">
        <v>6.19</v>
      </c>
      <c r="H83" s="4">
        <v>31.55</v>
      </c>
      <c r="J83" s="4">
        <v>3.2</v>
      </c>
      <c r="K83" s="4">
        <v>0</v>
      </c>
      <c r="L83" s="10" t="s">
        <v>30</v>
      </c>
      <c r="M83" s="4">
        <v>350.24</v>
      </c>
      <c r="N83" s="4">
        <v>315.49</v>
      </c>
      <c r="O83">
        <v>1</v>
      </c>
      <c r="P83">
        <v>1</v>
      </c>
      <c r="Q83" s="4">
        <v>0</v>
      </c>
      <c r="R83" s="10" t="s">
        <v>171</v>
      </c>
      <c r="S83" t="s">
        <v>132</v>
      </c>
    </row>
    <row r="84" spans="1:19" hidden="1" x14ac:dyDescent="0.25">
      <c r="A84" t="s">
        <v>240</v>
      </c>
      <c r="B84" s="1" t="s">
        <v>249</v>
      </c>
      <c r="C84" t="s">
        <v>250</v>
      </c>
      <c r="D84" s="1">
        <v>1757070</v>
      </c>
      <c r="E84" s="4">
        <v>378.95</v>
      </c>
      <c r="F84" s="4">
        <v>3.77</v>
      </c>
      <c r="G84" s="4">
        <v>6.19</v>
      </c>
      <c r="H84" s="4">
        <v>63.16</v>
      </c>
      <c r="J84" s="4">
        <v>3.2</v>
      </c>
      <c r="K84" s="4">
        <v>0</v>
      </c>
      <c r="L84" s="10" t="s">
        <v>45</v>
      </c>
      <c r="M84" s="4">
        <v>382.15</v>
      </c>
      <c r="N84" s="4">
        <v>315.79000000000002</v>
      </c>
      <c r="O84">
        <v>1</v>
      </c>
      <c r="P84">
        <v>1</v>
      </c>
      <c r="Q84" s="4">
        <v>0</v>
      </c>
      <c r="R84" s="10" t="s">
        <v>30</v>
      </c>
      <c r="S84" t="s">
        <v>132</v>
      </c>
    </row>
    <row r="85" spans="1:19" hidden="1" x14ac:dyDescent="0.25">
      <c r="A85" t="s">
        <v>240</v>
      </c>
      <c r="B85" s="1">
        <v>11103</v>
      </c>
      <c r="C85" t="s">
        <v>251</v>
      </c>
      <c r="D85" s="1">
        <v>1697773</v>
      </c>
      <c r="E85" s="4">
        <v>398.18</v>
      </c>
      <c r="F85" s="4">
        <v>4.72</v>
      </c>
      <c r="G85" s="4">
        <v>7.01</v>
      </c>
      <c r="H85" s="4">
        <v>36.200000000000003</v>
      </c>
      <c r="J85" s="4">
        <v>3.2</v>
      </c>
      <c r="K85" s="4">
        <v>0</v>
      </c>
      <c r="L85" s="10" t="s">
        <v>64</v>
      </c>
      <c r="M85" s="4">
        <v>401.38</v>
      </c>
      <c r="N85" s="4">
        <v>361.98</v>
      </c>
      <c r="O85">
        <v>4</v>
      </c>
      <c r="P85">
        <v>5</v>
      </c>
      <c r="Q85" s="4">
        <v>398.17</v>
      </c>
      <c r="R85" s="10" t="s">
        <v>252</v>
      </c>
      <c r="S85" t="s">
        <v>253</v>
      </c>
    </row>
    <row r="86" spans="1:19" hidden="1" x14ac:dyDescent="0.25">
      <c r="A86" t="s">
        <v>240</v>
      </c>
      <c r="B86" s="1" t="s">
        <v>254</v>
      </c>
      <c r="C86" t="s">
        <v>255</v>
      </c>
      <c r="D86" s="1">
        <v>1746342</v>
      </c>
      <c r="E86" s="4">
        <v>2500.06</v>
      </c>
      <c r="F86" s="4">
        <v>11.13</v>
      </c>
      <c r="G86" s="4">
        <v>12.43</v>
      </c>
      <c r="H86" s="4">
        <v>449.04</v>
      </c>
      <c r="J86" s="4">
        <v>3.2</v>
      </c>
      <c r="K86" s="4">
        <v>0</v>
      </c>
      <c r="L86" s="10" t="s">
        <v>33</v>
      </c>
      <c r="M86" s="4">
        <v>2503.2600000000002</v>
      </c>
      <c r="N86" s="4">
        <v>2051.02</v>
      </c>
      <c r="O86">
        <v>1</v>
      </c>
      <c r="P86">
        <v>1</v>
      </c>
      <c r="Q86" s="4">
        <v>0</v>
      </c>
      <c r="R86" s="10" t="s">
        <v>30</v>
      </c>
      <c r="S86" t="s">
        <v>256</v>
      </c>
    </row>
    <row r="87" spans="1:19" hidden="1" x14ac:dyDescent="0.25">
      <c r="A87" t="s">
        <v>257</v>
      </c>
      <c r="B87" s="1" t="s">
        <v>258</v>
      </c>
      <c r="C87" t="s">
        <v>259</v>
      </c>
      <c r="D87" s="1">
        <v>1748139</v>
      </c>
      <c r="E87" s="4">
        <v>294.66000000000003</v>
      </c>
      <c r="F87" s="4">
        <v>5.25</v>
      </c>
      <c r="G87" s="4">
        <v>5.0199999999999996</v>
      </c>
      <c r="H87" s="4">
        <v>38.43</v>
      </c>
      <c r="J87" s="4">
        <v>3.2</v>
      </c>
      <c r="K87" s="4">
        <v>0</v>
      </c>
      <c r="L87" s="10" t="s">
        <v>64</v>
      </c>
      <c r="M87" s="4">
        <v>297.86</v>
      </c>
      <c r="N87" s="4">
        <v>256.23</v>
      </c>
      <c r="O87">
        <v>1</v>
      </c>
      <c r="P87">
        <v>1</v>
      </c>
      <c r="Q87" s="4">
        <v>0</v>
      </c>
      <c r="R87" s="10" t="s">
        <v>46</v>
      </c>
      <c r="S87" t="s">
        <v>51</v>
      </c>
    </row>
    <row r="88" spans="1:19" hidden="1" x14ac:dyDescent="0.25">
      <c r="A88" t="s">
        <v>257</v>
      </c>
      <c r="B88" s="1" t="s">
        <v>260</v>
      </c>
      <c r="C88" t="s">
        <v>261</v>
      </c>
      <c r="D88" s="1">
        <v>1748152</v>
      </c>
      <c r="E88" s="4">
        <v>303.49</v>
      </c>
      <c r="F88" s="4">
        <v>1.64</v>
      </c>
      <c r="G88" s="4">
        <v>4.96</v>
      </c>
      <c r="H88" s="4">
        <v>50.58</v>
      </c>
      <c r="J88" s="4">
        <v>3.2</v>
      </c>
      <c r="K88" s="4">
        <v>0</v>
      </c>
      <c r="L88" s="10" t="s">
        <v>46</v>
      </c>
      <c r="M88" s="4">
        <v>306.69</v>
      </c>
      <c r="N88" s="4">
        <v>252.91</v>
      </c>
      <c r="O88">
        <v>1</v>
      </c>
      <c r="P88">
        <v>1</v>
      </c>
      <c r="Q88" s="4">
        <v>0</v>
      </c>
      <c r="R88" s="10" t="s">
        <v>46</v>
      </c>
      <c r="S88" t="s">
        <v>262</v>
      </c>
    </row>
    <row r="89" spans="1:19" hidden="1" x14ac:dyDescent="0.25">
      <c r="A89" t="s">
        <v>257</v>
      </c>
      <c r="B89" s="1">
        <v>19104</v>
      </c>
      <c r="C89" t="s">
        <v>263</v>
      </c>
      <c r="D89" s="1">
        <v>1373926</v>
      </c>
      <c r="E89" s="4">
        <v>742.99</v>
      </c>
      <c r="F89" s="4">
        <v>169.8</v>
      </c>
      <c r="G89" s="4">
        <v>14.14</v>
      </c>
      <c r="H89" s="4">
        <v>72.12</v>
      </c>
      <c r="I89">
        <v>10.220000000000001</v>
      </c>
      <c r="J89" s="4">
        <v>3.2</v>
      </c>
      <c r="K89" s="4">
        <v>0</v>
      </c>
      <c r="L89" s="10" t="s">
        <v>64</v>
      </c>
      <c r="M89" s="4">
        <v>746.19</v>
      </c>
      <c r="N89" s="4">
        <f>Tabela112[[#This Row],[VALOR PAGO]]+Tabela112[[#This Row],[JUROS PAGOS]]-Tabela112[[#This Row],[DESPESA]]-Tabela112[[#This Row],[HONORARIO]]</f>
        <v>681.09</v>
      </c>
      <c r="O89">
        <v>4</v>
      </c>
      <c r="P89">
        <v>25</v>
      </c>
      <c r="Q89" s="4">
        <v>14859.78</v>
      </c>
      <c r="R89" s="10" t="s">
        <v>264</v>
      </c>
      <c r="S89" t="s">
        <v>265</v>
      </c>
    </row>
    <row r="90" spans="1:19" hidden="1" x14ac:dyDescent="0.25">
      <c r="A90" t="s">
        <v>257</v>
      </c>
      <c r="B90" s="1">
        <v>13102</v>
      </c>
      <c r="C90" t="s">
        <v>266</v>
      </c>
      <c r="D90" s="1">
        <v>1492562</v>
      </c>
      <c r="E90" s="4">
        <v>342.02</v>
      </c>
      <c r="F90" s="4">
        <v>27.63</v>
      </c>
      <c r="G90" s="4">
        <v>5.59</v>
      </c>
      <c r="H90" s="4">
        <v>57</v>
      </c>
      <c r="I90">
        <v>1.34</v>
      </c>
      <c r="J90" s="4">
        <v>3.2</v>
      </c>
      <c r="K90" s="4">
        <v>0</v>
      </c>
      <c r="L90" s="10" t="s">
        <v>46</v>
      </c>
      <c r="M90" s="4">
        <v>345.22</v>
      </c>
      <c r="N90" s="4">
        <f>Tabela112[[#This Row],[VALOR PAGO]]+Tabela112[[#This Row],[JUROS PAGOS]]-Tabela112[[#This Row],[DESPESA]]-Tabela112[[#This Row],[HONORARIO]]</f>
        <v>286.36</v>
      </c>
      <c r="O90">
        <v>1</v>
      </c>
      <c r="P90">
        <v>15</v>
      </c>
      <c r="Q90" s="4">
        <v>4788.25</v>
      </c>
      <c r="R90" s="10" t="s">
        <v>267</v>
      </c>
      <c r="S90" t="s">
        <v>268</v>
      </c>
    </row>
    <row r="91" spans="1:19" hidden="1" x14ac:dyDescent="0.25">
      <c r="A91" t="s">
        <v>269</v>
      </c>
      <c r="B91" s="1" t="s">
        <v>270</v>
      </c>
      <c r="C91" t="s">
        <v>271</v>
      </c>
      <c r="D91" s="1">
        <v>1006187</v>
      </c>
      <c r="E91" s="4">
        <v>418.17</v>
      </c>
      <c r="F91" s="4">
        <v>160.91</v>
      </c>
      <c r="G91" s="4">
        <v>11.18</v>
      </c>
      <c r="H91" s="4">
        <v>57.03</v>
      </c>
      <c r="J91" s="4">
        <v>3.2</v>
      </c>
      <c r="K91" s="4">
        <v>37.46</v>
      </c>
      <c r="L91" s="10" t="s">
        <v>45</v>
      </c>
      <c r="M91" s="4">
        <v>421.37</v>
      </c>
      <c r="N91" s="4">
        <v>361.14</v>
      </c>
      <c r="O91">
        <v>11</v>
      </c>
      <c r="P91">
        <v>17</v>
      </c>
      <c r="Q91" s="4">
        <v>2090.77</v>
      </c>
      <c r="R91" s="10" t="s">
        <v>272</v>
      </c>
      <c r="S91" t="s">
        <v>273</v>
      </c>
    </row>
    <row r="92" spans="1:19" hidden="1" x14ac:dyDescent="0.25">
      <c r="A92" t="s">
        <v>269</v>
      </c>
      <c r="B92" s="1" t="s">
        <v>274</v>
      </c>
      <c r="C92" t="s">
        <v>275</v>
      </c>
      <c r="D92" s="1">
        <v>1134994</v>
      </c>
      <c r="E92" s="4">
        <v>514.75</v>
      </c>
      <c r="F92" s="4">
        <v>47.92</v>
      </c>
      <c r="G92" s="4">
        <v>10.53</v>
      </c>
      <c r="H92" s="4">
        <v>53.69</v>
      </c>
      <c r="I92">
        <v>1.1000000000000001</v>
      </c>
      <c r="J92" s="4">
        <v>3.2</v>
      </c>
      <c r="K92" s="4">
        <v>0</v>
      </c>
      <c r="L92" s="10" t="s">
        <v>23</v>
      </c>
      <c r="M92" s="4">
        <v>517.95000000000005</v>
      </c>
      <c r="N92" s="4">
        <f>Tabela112[[#This Row],[VALOR PAGO]]+Tabela112[[#This Row],[JUROS PAGOS]]-Tabela112[[#This Row],[DESPESA]]-Tabela112[[#This Row],[HONORARIO]]</f>
        <v>462.16</v>
      </c>
      <c r="O92">
        <v>11</v>
      </c>
      <c r="P92">
        <v>13</v>
      </c>
      <c r="Q92" s="4">
        <v>514.72</v>
      </c>
      <c r="R92" s="10" t="s">
        <v>276</v>
      </c>
      <c r="S92" t="s">
        <v>277</v>
      </c>
    </row>
    <row r="93" spans="1:19" hidden="1" x14ac:dyDescent="0.25">
      <c r="A93" t="s">
        <v>269</v>
      </c>
      <c r="B93" s="1" t="s">
        <v>278</v>
      </c>
      <c r="C93" t="s">
        <v>279</v>
      </c>
      <c r="D93" s="1">
        <v>1180754</v>
      </c>
      <c r="E93" s="4">
        <v>299.76</v>
      </c>
      <c r="F93" s="4">
        <v>58.05</v>
      </c>
      <c r="G93" s="4">
        <v>5.45</v>
      </c>
      <c r="H93" s="4">
        <v>27.82</v>
      </c>
      <c r="J93" s="4">
        <v>3.2</v>
      </c>
      <c r="K93" s="4">
        <v>24.03</v>
      </c>
      <c r="L93" s="10" t="s">
        <v>45</v>
      </c>
      <c r="M93" s="4">
        <v>302.95999999999998</v>
      </c>
      <c r="N93" s="4">
        <v>271.94</v>
      </c>
      <c r="O93">
        <v>4</v>
      </c>
      <c r="P93">
        <v>60</v>
      </c>
      <c r="Q93" s="4">
        <v>16786.27</v>
      </c>
      <c r="R93" s="10" t="s">
        <v>280</v>
      </c>
      <c r="S93" t="s">
        <v>281</v>
      </c>
    </row>
    <row r="94" spans="1:19" hidden="1" x14ac:dyDescent="0.25">
      <c r="A94" t="s">
        <v>282</v>
      </c>
      <c r="B94" s="1">
        <v>152</v>
      </c>
      <c r="C94" t="s">
        <v>283</v>
      </c>
      <c r="D94" s="1">
        <v>1222539</v>
      </c>
      <c r="E94" s="4">
        <v>416.02</v>
      </c>
      <c r="F94" s="4">
        <v>63.61</v>
      </c>
      <c r="G94" s="4">
        <v>9.25</v>
      </c>
      <c r="H94" s="4">
        <v>47.16</v>
      </c>
      <c r="J94" s="4">
        <v>3.2</v>
      </c>
      <c r="K94" s="4">
        <v>8.0500000000000007</v>
      </c>
      <c r="L94" s="10" t="s">
        <v>81</v>
      </c>
      <c r="M94" s="4">
        <v>419.22</v>
      </c>
      <c r="N94" s="4">
        <v>368.86</v>
      </c>
      <c r="O94">
        <v>13</v>
      </c>
      <c r="P94">
        <v>17</v>
      </c>
      <c r="Q94" s="4">
        <v>1248.04</v>
      </c>
      <c r="R94" s="10" t="s">
        <v>284</v>
      </c>
      <c r="S94" t="s">
        <v>285</v>
      </c>
    </row>
    <row r="95" spans="1:19" hidden="1" x14ac:dyDescent="0.25">
      <c r="A95" t="s">
        <v>282</v>
      </c>
      <c r="B95" s="1">
        <v>20</v>
      </c>
      <c r="C95" t="s">
        <v>29</v>
      </c>
      <c r="D95" s="1">
        <v>1137139</v>
      </c>
      <c r="E95" s="4">
        <v>3423.63</v>
      </c>
      <c r="F95" s="4">
        <v>1355.66</v>
      </c>
      <c r="G95" s="4">
        <v>126.29</v>
      </c>
      <c r="H95" s="4">
        <v>1287.96</v>
      </c>
      <c r="J95" s="4">
        <v>3.2</v>
      </c>
      <c r="K95" s="4">
        <v>1269.97</v>
      </c>
      <c r="L95" s="10" t="s">
        <v>30</v>
      </c>
      <c r="M95" s="4">
        <v>3426.83</v>
      </c>
      <c r="N95" s="4">
        <v>2135.67</v>
      </c>
      <c r="O95">
        <v>1</v>
      </c>
      <c r="P95">
        <v>1</v>
      </c>
      <c r="Q95" s="4">
        <v>0</v>
      </c>
      <c r="R95" s="10" t="s">
        <v>64</v>
      </c>
      <c r="S95" t="s">
        <v>286</v>
      </c>
    </row>
    <row r="96" spans="1:19" hidden="1" x14ac:dyDescent="0.25">
      <c r="A96" t="s">
        <v>282</v>
      </c>
      <c r="B96" s="1" t="s">
        <v>287</v>
      </c>
      <c r="C96" t="s">
        <v>288</v>
      </c>
      <c r="D96" s="1">
        <v>1738832</v>
      </c>
      <c r="E96" s="4">
        <v>964.1</v>
      </c>
      <c r="F96" s="4">
        <v>12.91</v>
      </c>
      <c r="G96" s="4">
        <v>9.65</v>
      </c>
      <c r="H96" s="4">
        <v>161.84</v>
      </c>
      <c r="J96" s="4">
        <v>3.2</v>
      </c>
      <c r="K96" s="4">
        <v>0</v>
      </c>
      <c r="L96" s="10" t="s">
        <v>45</v>
      </c>
      <c r="M96" s="4">
        <v>967.3</v>
      </c>
      <c r="N96" s="4">
        <v>802.26</v>
      </c>
      <c r="O96">
        <v>1</v>
      </c>
      <c r="P96">
        <v>1</v>
      </c>
      <c r="Q96" s="4">
        <v>0</v>
      </c>
      <c r="R96" s="10" t="s">
        <v>64</v>
      </c>
      <c r="S96" t="s">
        <v>289</v>
      </c>
    </row>
    <row r="97" spans="1:19" hidden="1" x14ac:dyDescent="0.25">
      <c r="A97" t="s">
        <v>282</v>
      </c>
      <c r="B97" s="1">
        <v>12</v>
      </c>
      <c r="C97" t="s">
        <v>290</v>
      </c>
      <c r="D97" s="1">
        <v>9143</v>
      </c>
      <c r="E97" s="4">
        <v>1035.6300000000001</v>
      </c>
      <c r="F97" s="4">
        <v>3.47</v>
      </c>
      <c r="G97" s="4">
        <v>8.56</v>
      </c>
      <c r="H97" s="4">
        <v>174.26</v>
      </c>
      <c r="J97" s="4">
        <v>3.2</v>
      </c>
      <c r="K97" s="4">
        <v>0</v>
      </c>
      <c r="L97" s="10" t="s">
        <v>30</v>
      </c>
      <c r="M97" s="4">
        <v>1036.24</v>
      </c>
      <c r="N97" s="4">
        <v>861.98</v>
      </c>
      <c r="O97">
        <v>1</v>
      </c>
      <c r="P97">
        <v>1</v>
      </c>
      <c r="Q97" s="4">
        <v>0</v>
      </c>
      <c r="R97" s="10" t="s">
        <v>30</v>
      </c>
      <c r="S97" t="s">
        <v>291</v>
      </c>
    </row>
    <row r="98" spans="1:19" hidden="1" x14ac:dyDescent="0.25">
      <c r="A98" t="s">
        <v>292</v>
      </c>
      <c r="B98" s="1" t="s">
        <v>293</v>
      </c>
      <c r="C98" t="s">
        <v>294</v>
      </c>
      <c r="D98" s="1">
        <v>1756117</v>
      </c>
      <c r="E98" s="4">
        <v>547.41999999999996</v>
      </c>
      <c r="F98" s="4">
        <v>5.94</v>
      </c>
      <c r="G98" s="4">
        <v>9.76</v>
      </c>
      <c r="H98" s="4">
        <v>49.77</v>
      </c>
      <c r="J98" s="4">
        <v>3.2</v>
      </c>
      <c r="K98" s="4">
        <v>0</v>
      </c>
      <c r="L98" s="10" t="s">
        <v>30</v>
      </c>
      <c r="M98" s="4">
        <v>550.62</v>
      </c>
      <c r="N98" s="4">
        <v>497.65</v>
      </c>
      <c r="O98">
        <v>1</v>
      </c>
      <c r="P98">
        <v>1</v>
      </c>
      <c r="Q98" s="4">
        <v>0</v>
      </c>
      <c r="R98" s="10" t="s">
        <v>30</v>
      </c>
      <c r="S98" t="s">
        <v>132</v>
      </c>
    </row>
    <row r="99" spans="1:19" hidden="1" x14ac:dyDescent="0.25">
      <c r="A99" t="s">
        <v>295</v>
      </c>
      <c r="B99" s="1" t="s">
        <v>296</v>
      </c>
      <c r="C99" t="s">
        <v>297</v>
      </c>
      <c r="D99" s="1">
        <v>1674770</v>
      </c>
      <c r="E99" s="4">
        <v>615.4</v>
      </c>
      <c r="F99" s="4">
        <v>24.88</v>
      </c>
      <c r="G99" s="4">
        <v>10.97</v>
      </c>
      <c r="H99" s="4">
        <v>55.95</v>
      </c>
      <c r="J99" s="4">
        <v>3.2</v>
      </c>
      <c r="K99" s="4">
        <v>0</v>
      </c>
      <c r="L99" s="10" t="s">
        <v>33</v>
      </c>
      <c r="M99" s="4">
        <v>618.6</v>
      </c>
      <c r="N99" s="4">
        <v>562.65</v>
      </c>
      <c r="O99">
        <v>2</v>
      </c>
      <c r="P99">
        <v>4</v>
      </c>
      <c r="Q99" s="4">
        <v>1230.78</v>
      </c>
      <c r="R99" s="10" t="s">
        <v>298</v>
      </c>
      <c r="S99" t="s">
        <v>299</v>
      </c>
    </row>
    <row r="100" spans="1:19" hidden="1" x14ac:dyDescent="0.25">
      <c r="A100" t="s">
        <v>295</v>
      </c>
      <c r="B100" s="1" t="s">
        <v>296</v>
      </c>
      <c r="C100" t="s">
        <v>297</v>
      </c>
      <c r="D100" s="1">
        <v>1735094</v>
      </c>
      <c r="E100" s="4">
        <v>659.84</v>
      </c>
      <c r="F100" s="4">
        <v>6.04</v>
      </c>
      <c r="G100" s="4">
        <v>10.78</v>
      </c>
      <c r="H100" s="4">
        <v>109.97</v>
      </c>
      <c r="I100">
        <v>19.5</v>
      </c>
      <c r="J100" s="4">
        <v>3.2</v>
      </c>
      <c r="K100" s="4">
        <v>0</v>
      </c>
      <c r="L100" s="10" t="s">
        <v>33</v>
      </c>
      <c r="M100" s="4">
        <v>663.04</v>
      </c>
      <c r="N100" s="4">
        <f>Tabela112[[#This Row],[VALOR PAGO]]+Tabela112[[#This Row],[JUROS PAGOS]]-Tabela112[[#This Row],[DESPESA]]-Tabela112[[#This Row],[HONORARIO]]</f>
        <v>569.36999999999989</v>
      </c>
      <c r="O100">
        <v>1</v>
      </c>
      <c r="P100">
        <v>1</v>
      </c>
      <c r="Q100" s="4">
        <v>0</v>
      </c>
      <c r="R100" s="10" t="s">
        <v>300</v>
      </c>
      <c r="S100" t="s">
        <v>301</v>
      </c>
    </row>
    <row r="101" spans="1:19" hidden="1" x14ac:dyDescent="0.25">
      <c r="A101" t="s">
        <v>295</v>
      </c>
      <c r="B101" s="1" t="s">
        <v>302</v>
      </c>
      <c r="C101" t="s">
        <v>303</v>
      </c>
      <c r="D101" s="1">
        <v>1049782</v>
      </c>
      <c r="E101" s="4">
        <v>5088.2700000000004</v>
      </c>
      <c r="F101" s="4">
        <v>497.41</v>
      </c>
      <c r="G101" s="4">
        <v>706.7</v>
      </c>
      <c r="H101" s="4">
        <v>848.05</v>
      </c>
      <c r="J101" s="4">
        <v>3.2</v>
      </c>
      <c r="K101" s="4">
        <v>0</v>
      </c>
      <c r="L101" s="10" t="s">
        <v>45</v>
      </c>
      <c r="M101" s="4">
        <v>5091.47</v>
      </c>
      <c r="N101" s="4">
        <v>4240.22</v>
      </c>
      <c r="O101">
        <v>1</v>
      </c>
      <c r="P101">
        <v>1</v>
      </c>
      <c r="Q101" s="4">
        <v>0</v>
      </c>
      <c r="R101" s="10" t="s">
        <v>97</v>
      </c>
      <c r="S101" t="s">
        <v>304</v>
      </c>
    </row>
    <row r="102" spans="1:19" hidden="1" x14ac:dyDescent="0.25">
      <c r="A102" t="s">
        <v>305</v>
      </c>
      <c r="B102" s="1">
        <v>81</v>
      </c>
      <c r="C102" t="s">
        <v>306</v>
      </c>
      <c r="D102" s="1">
        <v>1752080</v>
      </c>
      <c r="E102" s="4">
        <v>377.59</v>
      </c>
      <c r="F102" s="4">
        <v>6.94</v>
      </c>
      <c r="G102" s="4">
        <v>6.17</v>
      </c>
      <c r="H102" s="4">
        <v>62.93</v>
      </c>
      <c r="J102" s="4">
        <v>3.2</v>
      </c>
      <c r="K102" s="4">
        <v>0</v>
      </c>
      <c r="L102" s="10" t="s">
        <v>81</v>
      </c>
      <c r="M102" s="4">
        <v>380.79</v>
      </c>
      <c r="N102" s="4">
        <v>314.66000000000003</v>
      </c>
      <c r="O102">
        <v>1</v>
      </c>
      <c r="P102">
        <v>1</v>
      </c>
      <c r="Q102" s="4">
        <v>0</v>
      </c>
      <c r="R102" s="10" t="s">
        <v>45</v>
      </c>
      <c r="S102" t="s">
        <v>51</v>
      </c>
    </row>
    <row r="103" spans="1:19" hidden="1" x14ac:dyDescent="0.25">
      <c r="A103" t="s">
        <v>305</v>
      </c>
      <c r="B103" s="1">
        <v>64</v>
      </c>
      <c r="C103" t="s">
        <v>307</v>
      </c>
      <c r="D103" s="1">
        <v>1012247</v>
      </c>
      <c r="E103" s="4">
        <v>557.72</v>
      </c>
      <c r="F103" s="4">
        <v>127.08</v>
      </c>
      <c r="G103" s="4">
        <v>11.66</v>
      </c>
      <c r="H103" s="4">
        <v>118.91</v>
      </c>
      <c r="I103">
        <v>15.4</v>
      </c>
      <c r="J103" s="4">
        <v>3.2</v>
      </c>
      <c r="K103" s="4">
        <v>57.55</v>
      </c>
      <c r="L103" s="10" t="s">
        <v>30</v>
      </c>
      <c r="M103" s="4">
        <v>560.91999999999996</v>
      </c>
      <c r="N103" s="4">
        <f>Tabela112[[#This Row],[VALOR PAGO]]+Tabela112[[#This Row],[JUROS PAGOS]]-Tabela112[[#This Row],[DESPESA]]-Tabela112[[#This Row],[HONORARIO]]</f>
        <v>454.20999999999992</v>
      </c>
      <c r="O103">
        <v>14</v>
      </c>
      <c r="P103">
        <v>31</v>
      </c>
      <c r="Q103" s="4">
        <v>9481.17</v>
      </c>
      <c r="R103" s="10" t="s">
        <v>308</v>
      </c>
      <c r="S103" t="s">
        <v>309</v>
      </c>
    </row>
    <row r="104" spans="1:19" hidden="1" x14ac:dyDescent="0.25">
      <c r="A104" t="s">
        <v>305</v>
      </c>
      <c r="B104" s="1">
        <v>32</v>
      </c>
      <c r="C104" t="s">
        <v>310</v>
      </c>
      <c r="D104" s="1">
        <v>1752031</v>
      </c>
      <c r="E104" s="4">
        <v>389</v>
      </c>
      <c r="F104" s="4">
        <v>7.25</v>
      </c>
      <c r="G104" s="4">
        <v>6.36</v>
      </c>
      <c r="H104" s="4">
        <v>64.83</v>
      </c>
      <c r="J104" s="4">
        <v>3.2</v>
      </c>
      <c r="K104" s="4">
        <v>0</v>
      </c>
      <c r="L104" s="10" t="s">
        <v>33</v>
      </c>
      <c r="M104" s="4">
        <v>392.2</v>
      </c>
      <c r="N104" s="4">
        <v>324.17</v>
      </c>
      <c r="O104">
        <v>1</v>
      </c>
      <c r="P104">
        <v>1</v>
      </c>
      <c r="Q104" s="4">
        <v>0</v>
      </c>
      <c r="R104" s="10" t="s">
        <v>45</v>
      </c>
      <c r="S104" t="s">
        <v>51</v>
      </c>
    </row>
    <row r="105" spans="1:19" hidden="1" x14ac:dyDescent="0.25">
      <c r="A105" t="s">
        <v>305</v>
      </c>
      <c r="B105" s="1">
        <v>28</v>
      </c>
      <c r="C105" t="s">
        <v>311</v>
      </c>
      <c r="D105" s="1">
        <v>1004511</v>
      </c>
      <c r="E105" s="4">
        <v>12668.99</v>
      </c>
      <c r="F105" s="4">
        <v>5633.57</v>
      </c>
      <c r="G105" s="4">
        <v>296.70999999999998</v>
      </c>
      <c r="H105" s="4">
        <v>3026.38</v>
      </c>
      <c r="J105" s="4">
        <v>3.2</v>
      </c>
      <c r="K105" s="4">
        <v>441.06</v>
      </c>
      <c r="L105" s="10" t="s">
        <v>45</v>
      </c>
      <c r="M105" s="4">
        <v>12672.19</v>
      </c>
      <c r="N105" s="4">
        <v>9642.61</v>
      </c>
      <c r="O105">
        <v>2</v>
      </c>
      <c r="P105">
        <v>2</v>
      </c>
      <c r="Q105" s="4">
        <v>0</v>
      </c>
      <c r="R105" s="10" t="s">
        <v>312</v>
      </c>
      <c r="S105" t="s">
        <v>313</v>
      </c>
    </row>
    <row r="106" spans="1:19" hidden="1" x14ac:dyDescent="0.25">
      <c r="A106" t="s">
        <v>305</v>
      </c>
      <c r="B106" s="1">
        <v>17</v>
      </c>
      <c r="C106" t="s">
        <v>314</v>
      </c>
      <c r="D106" s="1">
        <v>1752017</v>
      </c>
      <c r="E106" s="4">
        <v>361.28</v>
      </c>
      <c r="F106" s="4">
        <v>6.64</v>
      </c>
      <c r="G106" s="4">
        <v>5.9</v>
      </c>
      <c r="H106" s="4">
        <v>60.21</v>
      </c>
      <c r="J106" s="4">
        <v>3.2</v>
      </c>
      <c r="K106" s="4">
        <v>0</v>
      </c>
      <c r="L106" s="10" t="s">
        <v>81</v>
      </c>
      <c r="M106" s="4">
        <v>364.48</v>
      </c>
      <c r="N106" s="4">
        <v>301.07</v>
      </c>
      <c r="O106">
        <v>1</v>
      </c>
      <c r="P106">
        <v>1</v>
      </c>
      <c r="Q106" s="4">
        <v>0</v>
      </c>
      <c r="R106" s="10" t="s">
        <v>45</v>
      </c>
      <c r="S106" t="s">
        <v>51</v>
      </c>
    </row>
    <row r="107" spans="1:19" hidden="1" x14ac:dyDescent="0.25">
      <c r="A107" t="s">
        <v>305</v>
      </c>
      <c r="B107" s="1">
        <v>13</v>
      </c>
      <c r="C107" t="s">
        <v>315</v>
      </c>
      <c r="D107" s="1">
        <v>1074683</v>
      </c>
      <c r="E107" s="4">
        <v>331.29</v>
      </c>
      <c r="F107" s="4">
        <v>56.01</v>
      </c>
      <c r="G107" s="4">
        <v>5.38</v>
      </c>
      <c r="H107" s="4">
        <v>54.83</v>
      </c>
      <c r="I107">
        <v>2.6</v>
      </c>
      <c r="J107" s="4">
        <v>3.2</v>
      </c>
      <c r="K107" s="4">
        <v>2.33</v>
      </c>
      <c r="L107" s="10" t="s">
        <v>81</v>
      </c>
      <c r="M107" s="4">
        <v>334.49</v>
      </c>
      <c r="N107" s="4">
        <f>Tabela112[[#This Row],[VALOR PAGO]]+Tabela112[[#This Row],[JUROS PAGOS]]-Tabela112[[#This Row],[DESPESA]]-Tabela112[[#This Row],[HONORARIO]]</f>
        <v>279.06000000000006</v>
      </c>
      <c r="O107">
        <v>2</v>
      </c>
      <c r="P107">
        <v>60</v>
      </c>
      <c r="Q107" s="4">
        <v>19214.96</v>
      </c>
      <c r="R107" s="10" t="s">
        <v>316</v>
      </c>
      <c r="S107" t="s">
        <v>317</v>
      </c>
    </row>
    <row r="108" spans="1:19" hidden="1" x14ac:dyDescent="0.25">
      <c r="A108" t="s">
        <v>305</v>
      </c>
      <c r="B108" s="1">
        <v>21</v>
      </c>
      <c r="C108" t="s">
        <v>318</v>
      </c>
      <c r="D108" s="1">
        <v>1626873</v>
      </c>
      <c r="E108" s="4">
        <v>617.65</v>
      </c>
      <c r="F108" s="4">
        <v>37.49</v>
      </c>
      <c r="G108" s="4">
        <v>10.09</v>
      </c>
      <c r="H108" s="4">
        <v>102.94</v>
      </c>
      <c r="J108" s="4">
        <v>3.2</v>
      </c>
      <c r="K108" s="4">
        <v>0</v>
      </c>
      <c r="L108" s="10" t="s">
        <v>64</v>
      </c>
      <c r="M108" s="4">
        <v>620.85</v>
      </c>
      <c r="N108" s="4">
        <v>514.71</v>
      </c>
      <c r="O108">
        <v>1</v>
      </c>
      <c r="P108">
        <v>1</v>
      </c>
      <c r="Q108" s="4">
        <v>0</v>
      </c>
      <c r="R108" s="10" t="s">
        <v>27</v>
      </c>
      <c r="S108" t="s">
        <v>319</v>
      </c>
    </row>
    <row r="109" spans="1:19" hidden="1" x14ac:dyDescent="0.25">
      <c r="A109" t="s">
        <v>320</v>
      </c>
      <c r="B109" s="1" t="s">
        <v>321</v>
      </c>
      <c r="C109" t="s">
        <v>322</v>
      </c>
      <c r="D109" s="1">
        <v>1543211</v>
      </c>
      <c r="E109" s="4">
        <v>1210.83</v>
      </c>
      <c r="F109" s="4">
        <v>110.39</v>
      </c>
      <c r="G109" s="4">
        <v>21.58</v>
      </c>
      <c r="H109" s="4">
        <v>110.08</v>
      </c>
      <c r="J109" s="4">
        <v>3.2</v>
      </c>
      <c r="K109" s="4">
        <v>0</v>
      </c>
      <c r="L109" s="10" t="s">
        <v>33</v>
      </c>
      <c r="M109" s="4">
        <v>1214.03</v>
      </c>
      <c r="N109" s="4">
        <v>1062.5</v>
      </c>
      <c r="O109">
        <v>12</v>
      </c>
      <c r="P109">
        <v>12</v>
      </c>
      <c r="Q109" s="4">
        <v>0</v>
      </c>
      <c r="R109" s="10" t="s">
        <v>323</v>
      </c>
      <c r="S109" t="s">
        <v>324</v>
      </c>
    </row>
    <row r="110" spans="1:19" hidden="1" x14ac:dyDescent="0.25">
      <c r="A110" t="s">
        <v>325</v>
      </c>
      <c r="B110" s="1" t="s">
        <v>326</v>
      </c>
      <c r="C110" t="s">
        <v>327</v>
      </c>
      <c r="D110" s="1">
        <v>9580</v>
      </c>
      <c r="E110" s="4">
        <v>199.86</v>
      </c>
      <c r="F110" s="4">
        <v>1.35</v>
      </c>
      <c r="G110" s="4">
        <v>3.27</v>
      </c>
      <c r="H110" s="4">
        <v>33.31</v>
      </c>
      <c r="J110" s="4">
        <v>3.2</v>
      </c>
      <c r="K110" s="4">
        <v>0</v>
      </c>
      <c r="L110" s="10" t="s">
        <v>30</v>
      </c>
      <c r="M110" s="4">
        <v>203.06</v>
      </c>
      <c r="N110" s="4">
        <v>166.55</v>
      </c>
      <c r="O110">
        <v>1</v>
      </c>
      <c r="P110">
        <v>1</v>
      </c>
      <c r="Q110" s="4">
        <v>0</v>
      </c>
      <c r="R110" s="10" t="s">
        <v>30</v>
      </c>
      <c r="S110" t="s">
        <v>328</v>
      </c>
    </row>
    <row r="111" spans="1:19" hidden="1" x14ac:dyDescent="0.25">
      <c r="A111" t="s">
        <v>329</v>
      </c>
      <c r="B111" s="1" t="s">
        <v>330</v>
      </c>
      <c r="C111" t="s">
        <v>331</v>
      </c>
      <c r="D111" s="1">
        <v>1690918</v>
      </c>
      <c r="E111" s="4">
        <v>584.89</v>
      </c>
      <c r="F111" s="4">
        <v>32.229999999999997</v>
      </c>
      <c r="G111" s="4">
        <v>9.56</v>
      </c>
      <c r="H111" s="4">
        <v>97.48</v>
      </c>
      <c r="J111" s="4">
        <v>3.2</v>
      </c>
      <c r="K111" s="4">
        <v>0</v>
      </c>
      <c r="L111" s="10" t="s">
        <v>46</v>
      </c>
      <c r="M111" s="4">
        <v>588.09</v>
      </c>
      <c r="N111" s="4">
        <v>487.41</v>
      </c>
      <c r="O111">
        <v>1</v>
      </c>
      <c r="P111">
        <v>1</v>
      </c>
      <c r="Q111" s="4">
        <v>0</v>
      </c>
      <c r="R111" s="10" t="s">
        <v>46</v>
      </c>
      <c r="S111" t="s">
        <v>332</v>
      </c>
    </row>
    <row r="112" spans="1:19" hidden="1" x14ac:dyDescent="0.25">
      <c r="A112" t="s">
        <v>333</v>
      </c>
      <c r="B112" s="1" t="s">
        <v>334</v>
      </c>
      <c r="C112" t="s">
        <v>335</v>
      </c>
      <c r="D112" s="1">
        <v>1734182</v>
      </c>
      <c r="E112" s="4">
        <v>375.11</v>
      </c>
      <c r="F112" s="4">
        <v>10.16</v>
      </c>
      <c r="G112" s="4">
        <v>6.69</v>
      </c>
      <c r="H112" s="4">
        <v>34.1</v>
      </c>
      <c r="J112" s="4">
        <v>3.2</v>
      </c>
      <c r="K112" s="4">
        <v>0</v>
      </c>
      <c r="L112" s="10" t="s">
        <v>46</v>
      </c>
      <c r="M112" s="4">
        <v>378.31</v>
      </c>
      <c r="N112" s="4">
        <v>341.01</v>
      </c>
      <c r="O112">
        <v>1</v>
      </c>
      <c r="P112">
        <v>1</v>
      </c>
      <c r="Q112" s="4">
        <v>0</v>
      </c>
      <c r="R112" s="10" t="s">
        <v>23</v>
      </c>
      <c r="S112" t="s">
        <v>28</v>
      </c>
    </row>
    <row r="113" spans="1:19" hidden="1" x14ac:dyDescent="0.25">
      <c r="A113" t="s">
        <v>333</v>
      </c>
      <c r="B113" s="1" t="s">
        <v>336</v>
      </c>
      <c r="C113" t="s">
        <v>337</v>
      </c>
      <c r="D113" s="1">
        <v>1734160</v>
      </c>
      <c r="E113" s="4">
        <v>866.22</v>
      </c>
      <c r="F113" s="4">
        <v>18.5</v>
      </c>
      <c r="G113" s="4">
        <v>14.16</v>
      </c>
      <c r="H113" s="4">
        <v>144.37</v>
      </c>
      <c r="J113" s="4">
        <v>3.2</v>
      </c>
      <c r="K113" s="4">
        <v>0</v>
      </c>
      <c r="L113" s="10" t="s">
        <v>64</v>
      </c>
      <c r="M113" s="4">
        <v>869.42</v>
      </c>
      <c r="N113" s="4">
        <v>721.85</v>
      </c>
      <c r="O113">
        <v>1</v>
      </c>
      <c r="P113">
        <v>1</v>
      </c>
      <c r="Q113" s="4">
        <v>0</v>
      </c>
      <c r="R113" s="10" t="s">
        <v>46</v>
      </c>
      <c r="S113" t="s">
        <v>28</v>
      </c>
    </row>
    <row r="114" spans="1:19" hidden="1" x14ac:dyDescent="0.25">
      <c r="A114" t="s">
        <v>333</v>
      </c>
      <c r="B114" s="1" t="s">
        <v>338</v>
      </c>
      <c r="C114" t="s">
        <v>339</v>
      </c>
      <c r="D114" s="1">
        <v>1487903</v>
      </c>
      <c r="E114" s="4">
        <v>296.49</v>
      </c>
      <c r="F114" s="4">
        <v>25.66</v>
      </c>
      <c r="G114" s="4">
        <v>5.52</v>
      </c>
      <c r="H114" s="4">
        <v>28.13</v>
      </c>
      <c r="J114" s="4">
        <v>3.2</v>
      </c>
      <c r="K114" s="4">
        <v>0</v>
      </c>
      <c r="L114" s="10" t="s">
        <v>45</v>
      </c>
      <c r="M114" s="4">
        <v>299.69</v>
      </c>
      <c r="N114" s="4">
        <v>268.36</v>
      </c>
      <c r="O114">
        <v>4</v>
      </c>
      <c r="P114">
        <v>8</v>
      </c>
      <c r="Q114" s="4">
        <v>1185.95</v>
      </c>
      <c r="R114" s="10" t="s">
        <v>340</v>
      </c>
      <c r="S114" t="s">
        <v>341</v>
      </c>
    </row>
    <row r="115" spans="1:19" hidden="1" x14ac:dyDescent="0.25">
      <c r="A115" t="s">
        <v>333</v>
      </c>
      <c r="B115" s="1" t="s">
        <v>338</v>
      </c>
      <c r="C115" t="s">
        <v>339</v>
      </c>
      <c r="D115" s="1">
        <v>1749196</v>
      </c>
      <c r="E115" s="4">
        <v>1223.8699999999999</v>
      </c>
      <c r="F115" s="4">
        <v>12.75</v>
      </c>
      <c r="G115" s="4">
        <v>19.989999999999998</v>
      </c>
      <c r="H115" s="4">
        <v>203.98</v>
      </c>
      <c r="J115" s="4">
        <v>3.2</v>
      </c>
      <c r="K115" s="4">
        <v>0</v>
      </c>
      <c r="L115" s="10" t="s">
        <v>81</v>
      </c>
      <c r="M115" s="4">
        <v>1227.07</v>
      </c>
      <c r="N115" s="4">
        <v>1019.89</v>
      </c>
      <c r="O115">
        <v>1</v>
      </c>
      <c r="P115">
        <v>1</v>
      </c>
      <c r="Q115" s="4">
        <v>0</v>
      </c>
      <c r="R115" s="10" t="s">
        <v>81</v>
      </c>
      <c r="S115" t="s">
        <v>342</v>
      </c>
    </row>
    <row r="116" spans="1:19" hidden="1" x14ac:dyDescent="0.25">
      <c r="A116" t="s">
        <v>333</v>
      </c>
      <c r="B116" s="1" t="s">
        <v>343</v>
      </c>
      <c r="C116" t="s">
        <v>344</v>
      </c>
      <c r="D116" s="1">
        <v>1193146</v>
      </c>
      <c r="E116" s="4">
        <v>321.60000000000002</v>
      </c>
      <c r="F116" s="4">
        <v>0</v>
      </c>
      <c r="G116" s="4">
        <v>0</v>
      </c>
      <c r="H116" s="4">
        <v>37.4</v>
      </c>
      <c r="I116">
        <v>1.26</v>
      </c>
      <c r="J116" s="4">
        <v>3.2</v>
      </c>
      <c r="K116" s="4">
        <v>0</v>
      </c>
      <c r="L116" s="10" t="s">
        <v>46</v>
      </c>
      <c r="M116" s="4">
        <v>324.8</v>
      </c>
      <c r="N116" s="4">
        <f>Tabela112[[#This Row],[VALOR PAGO]]+Tabela112[[#This Row],[JUROS PAGOS]]-Tabela112[[#This Row],[DESPESA]]-Tabela112[[#This Row],[HONORARIO]]</f>
        <v>285.46000000000004</v>
      </c>
      <c r="O116">
        <v>5</v>
      </c>
      <c r="P116">
        <v>47</v>
      </c>
      <c r="Q116" s="4">
        <v>13507.07</v>
      </c>
      <c r="R116" s="10" t="s">
        <v>264</v>
      </c>
      <c r="S116" t="s">
        <v>345</v>
      </c>
    </row>
    <row r="117" spans="1:19" hidden="1" x14ac:dyDescent="0.25">
      <c r="A117" t="s">
        <v>333</v>
      </c>
      <c r="B117" s="1" t="s">
        <v>346</v>
      </c>
      <c r="C117" t="s">
        <v>347</v>
      </c>
      <c r="D117" s="1">
        <v>1734193</v>
      </c>
      <c r="E117" s="4">
        <v>419.82</v>
      </c>
      <c r="F117" s="4">
        <v>11.17</v>
      </c>
      <c r="G117" s="4">
        <v>6.86</v>
      </c>
      <c r="H117" s="4">
        <v>69.97</v>
      </c>
      <c r="J117" s="4">
        <v>3.2</v>
      </c>
      <c r="K117" s="4">
        <v>0</v>
      </c>
      <c r="L117" s="10" t="s">
        <v>33</v>
      </c>
      <c r="M117" s="4">
        <v>423.02</v>
      </c>
      <c r="N117" s="4">
        <v>349.85</v>
      </c>
      <c r="O117">
        <v>1</v>
      </c>
      <c r="P117">
        <v>1</v>
      </c>
      <c r="Q117" s="4">
        <v>0</v>
      </c>
      <c r="R117" s="10" t="s">
        <v>64</v>
      </c>
      <c r="S117" t="s">
        <v>28</v>
      </c>
    </row>
    <row r="118" spans="1:19" hidden="1" x14ac:dyDescent="0.25">
      <c r="A118" t="s">
        <v>348</v>
      </c>
      <c r="B118" s="1">
        <v>93</v>
      </c>
      <c r="C118" t="s">
        <v>349</v>
      </c>
      <c r="D118" s="1">
        <v>1044644</v>
      </c>
      <c r="E118" s="4">
        <v>801.55</v>
      </c>
      <c r="F118" s="4">
        <v>164.18</v>
      </c>
      <c r="G118" s="4">
        <v>13.1</v>
      </c>
      <c r="H118" s="4">
        <v>133.59</v>
      </c>
      <c r="I118">
        <v>6.32</v>
      </c>
      <c r="J118" s="4">
        <v>3.2</v>
      </c>
      <c r="K118" s="4">
        <v>0</v>
      </c>
      <c r="L118" s="10" t="s">
        <v>30</v>
      </c>
      <c r="M118" s="4">
        <v>804.75</v>
      </c>
      <c r="N118" s="4">
        <f>Tabela112[[#This Row],[VALOR PAGO]]+Tabela112[[#This Row],[JUROS PAGOS]]-Tabela112[[#This Row],[DESPESA]]-Tabela112[[#This Row],[HONORARIO]]</f>
        <v>674.28</v>
      </c>
      <c r="O118">
        <v>5</v>
      </c>
      <c r="P118">
        <v>10</v>
      </c>
      <c r="Q118" s="4">
        <v>4007.74</v>
      </c>
      <c r="R118" s="10" t="s">
        <v>350</v>
      </c>
      <c r="S118" t="s">
        <v>351</v>
      </c>
    </row>
    <row r="119" spans="1:19" hidden="1" x14ac:dyDescent="0.25">
      <c r="A119" t="s">
        <v>348</v>
      </c>
      <c r="B119" s="1">
        <v>118</v>
      </c>
      <c r="C119" t="s">
        <v>352</v>
      </c>
      <c r="D119" s="1">
        <v>1720755</v>
      </c>
      <c r="E119" s="4">
        <v>564.73</v>
      </c>
      <c r="F119" s="4">
        <v>12.39</v>
      </c>
      <c r="G119" s="4">
        <v>9.23</v>
      </c>
      <c r="H119" s="4">
        <v>94.12</v>
      </c>
      <c r="J119" s="4">
        <v>3.2</v>
      </c>
      <c r="K119" s="4">
        <v>0</v>
      </c>
      <c r="L119" s="10" t="s">
        <v>30</v>
      </c>
      <c r="M119" s="4">
        <v>567.92999999999995</v>
      </c>
      <c r="N119" s="4">
        <v>470.61</v>
      </c>
      <c r="O119">
        <v>1</v>
      </c>
      <c r="P119">
        <v>3</v>
      </c>
      <c r="Q119" s="4">
        <v>1129.45</v>
      </c>
      <c r="R119" s="10" t="s">
        <v>64</v>
      </c>
      <c r="S119" t="s">
        <v>353</v>
      </c>
    </row>
    <row r="120" spans="1:19" hidden="1" x14ac:dyDescent="0.25">
      <c r="A120" t="s">
        <v>348</v>
      </c>
      <c r="B120" s="1">
        <v>74</v>
      </c>
      <c r="C120" t="s">
        <v>354</v>
      </c>
      <c r="D120" s="1">
        <v>114048</v>
      </c>
      <c r="E120" s="4">
        <v>599.73</v>
      </c>
      <c r="F120" s="4">
        <v>357.29</v>
      </c>
      <c r="G120" s="4">
        <v>11.97</v>
      </c>
      <c r="H120" s="4">
        <v>122.08</v>
      </c>
      <c r="J120" s="4">
        <v>3.2</v>
      </c>
      <c r="K120" s="4">
        <v>0</v>
      </c>
      <c r="L120" s="10" t="s">
        <v>23</v>
      </c>
      <c r="M120" s="4">
        <v>602.92999999999995</v>
      </c>
      <c r="N120" s="4">
        <v>477.65</v>
      </c>
      <c r="O120">
        <v>19</v>
      </c>
      <c r="P120">
        <v>47</v>
      </c>
      <c r="Q120" s="4">
        <v>16192.91</v>
      </c>
      <c r="R120" s="10" t="s">
        <v>355</v>
      </c>
      <c r="S120" t="s">
        <v>356</v>
      </c>
    </row>
    <row r="121" spans="1:19" hidden="1" x14ac:dyDescent="0.25">
      <c r="A121" t="s">
        <v>348</v>
      </c>
      <c r="B121" s="1">
        <v>82</v>
      </c>
      <c r="C121" t="s">
        <v>357</v>
      </c>
      <c r="D121" s="1">
        <v>1364683</v>
      </c>
      <c r="E121" s="4">
        <v>329.21</v>
      </c>
      <c r="F121" s="4">
        <v>44.77</v>
      </c>
      <c r="G121" s="4">
        <v>6.7</v>
      </c>
      <c r="H121" s="4">
        <v>34.19</v>
      </c>
      <c r="J121" s="4">
        <v>3.2</v>
      </c>
      <c r="K121" s="4">
        <v>0</v>
      </c>
      <c r="L121" s="10" t="s">
        <v>30</v>
      </c>
      <c r="M121" s="4">
        <v>332.41</v>
      </c>
      <c r="N121" s="4">
        <v>295.02</v>
      </c>
      <c r="O121">
        <v>3</v>
      </c>
      <c r="P121">
        <v>25</v>
      </c>
      <c r="Q121" s="4">
        <v>6913.34</v>
      </c>
      <c r="R121" s="10" t="s">
        <v>340</v>
      </c>
      <c r="S121" t="s">
        <v>358</v>
      </c>
    </row>
    <row r="122" spans="1:19" hidden="1" x14ac:dyDescent="0.25">
      <c r="A122" t="s">
        <v>348</v>
      </c>
      <c r="B122" s="1">
        <v>83</v>
      </c>
      <c r="C122" t="s">
        <v>359</v>
      </c>
      <c r="D122" s="1">
        <v>1000040</v>
      </c>
      <c r="E122" s="4">
        <v>329.63</v>
      </c>
      <c r="F122" s="4">
        <v>139.36000000000001</v>
      </c>
      <c r="G122" s="4">
        <v>8.3699999999999992</v>
      </c>
      <c r="H122" s="4">
        <v>85.35</v>
      </c>
      <c r="J122" s="4">
        <v>3.2</v>
      </c>
      <c r="K122" s="4">
        <v>51.41</v>
      </c>
      <c r="L122" s="10" t="s">
        <v>30</v>
      </c>
      <c r="M122" s="4">
        <v>332.83</v>
      </c>
      <c r="N122" s="4">
        <v>244.28</v>
      </c>
      <c r="O122">
        <v>2</v>
      </c>
      <c r="P122">
        <v>31</v>
      </c>
      <c r="Q122" s="4">
        <v>9229.77</v>
      </c>
      <c r="R122" s="10" t="s">
        <v>360</v>
      </c>
      <c r="S122" t="s">
        <v>361</v>
      </c>
    </row>
    <row r="123" spans="1:19" hidden="1" x14ac:dyDescent="0.25">
      <c r="A123" t="s">
        <v>348</v>
      </c>
      <c r="B123" s="1">
        <v>99</v>
      </c>
      <c r="C123" t="s">
        <v>362</v>
      </c>
      <c r="D123" s="1">
        <v>114072</v>
      </c>
      <c r="E123" s="4">
        <v>555.55999999999995</v>
      </c>
      <c r="F123" s="4">
        <v>487.82</v>
      </c>
      <c r="G123" s="4">
        <v>19.28</v>
      </c>
      <c r="H123" s="4">
        <v>98.31</v>
      </c>
      <c r="J123" s="4">
        <v>3.2</v>
      </c>
      <c r="K123" s="4">
        <v>50.92</v>
      </c>
      <c r="L123" s="10" t="s">
        <v>45</v>
      </c>
      <c r="M123" s="4">
        <v>558.76</v>
      </c>
      <c r="N123" s="4">
        <v>457.25</v>
      </c>
      <c r="O123">
        <v>5</v>
      </c>
      <c r="P123">
        <v>61</v>
      </c>
      <c r="Q123" s="4">
        <v>30555.58</v>
      </c>
      <c r="R123" s="10" t="s">
        <v>119</v>
      </c>
      <c r="S123" t="s">
        <v>363</v>
      </c>
    </row>
    <row r="124" spans="1:19" hidden="1" x14ac:dyDescent="0.25">
      <c r="A124" t="s">
        <v>364</v>
      </c>
      <c r="B124" s="1">
        <v>76</v>
      </c>
      <c r="C124" t="s">
        <v>365</v>
      </c>
      <c r="D124" s="1">
        <v>1746637</v>
      </c>
      <c r="E124" s="4">
        <v>316.26</v>
      </c>
      <c r="F124" s="4">
        <v>5.07</v>
      </c>
      <c r="G124" s="4">
        <v>5.17</v>
      </c>
      <c r="H124" s="4">
        <v>52.71</v>
      </c>
      <c r="J124" s="4">
        <v>3.2</v>
      </c>
      <c r="K124" s="4">
        <v>0</v>
      </c>
      <c r="L124" s="10" t="s">
        <v>33</v>
      </c>
      <c r="M124" s="4">
        <v>319.45999999999998</v>
      </c>
      <c r="N124" s="4">
        <v>263.55</v>
      </c>
      <c r="O124">
        <v>1</v>
      </c>
      <c r="P124">
        <v>1</v>
      </c>
      <c r="Q124" s="4">
        <v>0</v>
      </c>
      <c r="R124" s="10" t="s">
        <v>33</v>
      </c>
      <c r="S124" t="s">
        <v>366</v>
      </c>
    </row>
    <row r="125" spans="1:19" hidden="1" x14ac:dyDescent="0.25">
      <c r="A125" t="s">
        <v>364</v>
      </c>
      <c r="B125" s="1">
        <v>17</v>
      </c>
      <c r="C125" t="s">
        <v>367</v>
      </c>
      <c r="D125" s="1" t="s">
        <v>368</v>
      </c>
      <c r="E125" s="4">
        <v>448.44</v>
      </c>
      <c r="F125" s="4">
        <v>0</v>
      </c>
      <c r="G125" s="4">
        <v>0</v>
      </c>
      <c r="H125" s="4">
        <v>0</v>
      </c>
      <c r="J125" s="4">
        <v>3.2</v>
      </c>
      <c r="K125" s="4">
        <v>0</v>
      </c>
      <c r="L125" s="10" t="s">
        <v>45</v>
      </c>
      <c r="M125" s="4">
        <v>451.64</v>
      </c>
      <c r="N125" s="4">
        <f>Tabela112[[#This Row],[VALOR PAGO]]+Tabela112[[#This Row],[JUROS PAGOS]]-Tabela112[[#This Row],[DESPESA]]-Tabela112[[#This Row],[HONORARIO]]</f>
        <v>448.44</v>
      </c>
      <c r="O125">
        <v>30</v>
      </c>
      <c r="P125">
        <v>57</v>
      </c>
      <c r="Q125" s="4">
        <v>12107.88</v>
      </c>
      <c r="R125" s="10" t="s">
        <v>369</v>
      </c>
      <c r="S125" t="s">
        <v>370</v>
      </c>
    </row>
    <row r="126" spans="1:19" hidden="1" x14ac:dyDescent="0.25">
      <c r="A126" t="s">
        <v>371</v>
      </c>
      <c r="B126" s="1" t="s">
        <v>174</v>
      </c>
      <c r="C126" t="s">
        <v>372</v>
      </c>
      <c r="D126" s="1">
        <v>1097657</v>
      </c>
      <c r="E126" s="4">
        <v>15000</v>
      </c>
      <c r="F126" s="4">
        <v>5674.26</v>
      </c>
      <c r="G126" s="4">
        <v>218.13</v>
      </c>
      <c r="H126" s="4">
        <v>2519.8200000000002</v>
      </c>
      <c r="J126" s="4">
        <v>3.2</v>
      </c>
      <c r="K126" s="4">
        <v>0</v>
      </c>
      <c r="L126" s="10" t="s">
        <v>30</v>
      </c>
      <c r="M126" s="4">
        <v>15003.2</v>
      </c>
      <c r="N126" s="4">
        <v>12480.18</v>
      </c>
      <c r="O126">
        <v>1</v>
      </c>
      <c r="P126">
        <v>1</v>
      </c>
      <c r="Q126" s="4">
        <v>0</v>
      </c>
      <c r="R126" s="10" t="s">
        <v>46</v>
      </c>
      <c r="S126" t="s">
        <v>373</v>
      </c>
    </row>
    <row r="127" spans="1:19" hidden="1" x14ac:dyDescent="0.25">
      <c r="A127" t="s">
        <v>371</v>
      </c>
      <c r="B127" s="1" t="s">
        <v>374</v>
      </c>
      <c r="C127" t="s">
        <v>375</v>
      </c>
      <c r="D127" s="1">
        <v>1019594</v>
      </c>
      <c r="E127" s="4">
        <v>504.12</v>
      </c>
      <c r="F127" s="4">
        <v>98.06</v>
      </c>
      <c r="G127" s="4">
        <v>8.09</v>
      </c>
      <c r="H127" s="4">
        <v>40.46</v>
      </c>
      <c r="J127" s="4">
        <v>3.2</v>
      </c>
      <c r="K127" s="4">
        <v>0</v>
      </c>
      <c r="L127" s="10" t="s">
        <v>46</v>
      </c>
      <c r="M127" s="4">
        <v>507.32</v>
      </c>
      <c r="N127" s="4">
        <v>463.66</v>
      </c>
      <c r="O127">
        <v>30</v>
      </c>
      <c r="P127">
        <v>53</v>
      </c>
      <c r="Q127" s="4">
        <v>11594.51</v>
      </c>
      <c r="R127" s="10" t="s">
        <v>376</v>
      </c>
      <c r="S127" t="s">
        <v>377</v>
      </c>
    </row>
    <row r="128" spans="1:19" hidden="1" x14ac:dyDescent="0.25">
      <c r="A128" t="s">
        <v>371</v>
      </c>
      <c r="B128" s="1" t="s">
        <v>378</v>
      </c>
      <c r="C128" t="s">
        <v>379</v>
      </c>
      <c r="D128" s="1">
        <v>1050583</v>
      </c>
      <c r="E128" s="4">
        <v>348.24</v>
      </c>
      <c r="F128" s="4">
        <v>90.15</v>
      </c>
      <c r="G128" s="4">
        <v>6.02</v>
      </c>
      <c r="H128" s="4">
        <v>0</v>
      </c>
      <c r="J128" s="4">
        <v>3.2</v>
      </c>
      <c r="K128" s="4">
        <v>63.63</v>
      </c>
      <c r="L128" s="10" t="s">
        <v>30</v>
      </c>
      <c r="M128" s="4">
        <v>351.44</v>
      </c>
      <c r="N128" s="4">
        <f>Tabela112[[#This Row],[VALOR PAGO]]+Tabela112[[#This Row],[JUROS PAGOS]]-Tabela112[[#This Row],[DESPESA]]-Tabela112[[#This Row],[HONORARIO]]</f>
        <v>348.24</v>
      </c>
      <c r="O128">
        <v>16</v>
      </c>
      <c r="P128">
        <v>19</v>
      </c>
      <c r="Q128" s="4">
        <v>1044.72</v>
      </c>
      <c r="R128" s="10" t="s">
        <v>380</v>
      </c>
      <c r="S128" t="s">
        <v>381</v>
      </c>
    </row>
    <row r="129" spans="1:19" hidden="1" x14ac:dyDescent="0.25">
      <c r="A129" t="s">
        <v>371</v>
      </c>
      <c r="B129" s="1" t="s">
        <v>382</v>
      </c>
      <c r="C129" t="s">
        <v>383</v>
      </c>
      <c r="D129" s="1">
        <v>9626</v>
      </c>
      <c r="E129" s="4">
        <v>861.95</v>
      </c>
      <c r="F129" s="4">
        <v>6.85</v>
      </c>
      <c r="G129" s="4">
        <v>15.23</v>
      </c>
      <c r="H129" s="4">
        <v>78.36</v>
      </c>
      <c r="J129" s="4">
        <v>3.2</v>
      </c>
      <c r="K129" s="4">
        <v>0</v>
      </c>
      <c r="L129" s="10" t="s">
        <v>81</v>
      </c>
      <c r="M129" s="4">
        <v>865.15</v>
      </c>
      <c r="N129" s="4">
        <v>783.59</v>
      </c>
      <c r="O129">
        <v>1</v>
      </c>
      <c r="P129">
        <v>1</v>
      </c>
      <c r="Q129" s="4">
        <v>0</v>
      </c>
      <c r="R129" s="10" t="s">
        <v>30</v>
      </c>
      <c r="S129" t="s">
        <v>384</v>
      </c>
    </row>
    <row r="130" spans="1:19" hidden="1" x14ac:dyDescent="0.25">
      <c r="A130" t="s">
        <v>385</v>
      </c>
      <c r="B130" s="1" t="s">
        <v>386</v>
      </c>
      <c r="C130" t="s">
        <v>387</v>
      </c>
      <c r="D130" s="1">
        <v>1216281</v>
      </c>
      <c r="E130" s="4">
        <v>770.93</v>
      </c>
      <c r="F130" s="4">
        <v>91.02</v>
      </c>
      <c r="G130" s="4">
        <v>13.15</v>
      </c>
      <c r="H130" s="4">
        <v>100.56</v>
      </c>
      <c r="J130" s="4">
        <v>3.2</v>
      </c>
      <c r="K130" s="4">
        <v>0</v>
      </c>
      <c r="L130" s="10" t="s">
        <v>33</v>
      </c>
      <c r="M130" s="4">
        <v>774.13</v>
      </c>
      <c r="N130" s="4">
        <f>Tabela112[[#This Row],[VALOR PAGO]]-Tabela112[[#This Row],[DESPESA]]-Tabela112[[#This Row],[HONORARIO]]</f>
        <v>670.36999999999989</v>
      </c>
      <c r="O130">
        <v>13</v>
      </c>
      <c r="P130">
        <v>25</v>
      </c>
      <c r="Q130" s="4">
        <v>9251.18</v>
      </c>
      <c r="R130" s="10" t="s">
        <v>388</v>
      </c>
      <c r="S130" t="s">
        <v>389</v>
      </c>
    </row>
    <row r="131" spans="1:19" hidden="1" x14ac:dyDescent="0.25">
      <c r="A131" t="s">
        <v>385</v>
      </c>
      <c r="B131" s="1" t="s">
        <v>390</v>
      </c>
      <c r="C131" t="s">
        <v>391</v>
      </c>
      <c r="D131" s="1">
        <v>1201742</v>
      </c>
      <c r="E131" s="4">
        <v>978.34</v>
      </c>
      <c r="F131" s="4">
        <v>224.69</v>
      </c>
      <c r="G131" s="4">
        <v>27.06</v>
      </c>
      <c r="H131" s="4">
        <v>138.02000000000001</v>
      </c>
      <c r="I131">
        <v>30.88</v>
      </c>
      <c r="J131" s="4">
        <v>3.2</v>
      </c>
      <c r="K131" s="4">
        <v>0</v>
      </c>
      <c r="L131" s="10" t="s">
        <v>81</v>
      </c>
      <c r="M131" s="4">
        <v>981.54</v>
      </c>
      <c r="N131" s="4">
        <f>Tabela112[[#This Row],[VALOR PAGO]]+Tabela112[[#This Row],[JUROS PAGOS]]-Tabela112[[#This Row],[DESPESA]]-Tabela112[[#This Row],[HONORARIO]]</f>
        <v>871.19999999999993</v>
      </c>
      <c r="O131">
        <v>7</v>
      </c>
      <c r="P131">
        <v>14</v>
      </c>
      <c r="Q131" s="4">
        <v>5870.04</v>
      </c>
      <c r="R131" s="10" t="s">
        <v>392</v>
      </c>
      <c r="S131" t="s">
        <v>389</v>
      </c>
    </row>
    <row r="132" spans="1:19" hidden="1" x14ac:dyDescent="0.25">
      <c r="A132" t="s">
        <v>385</v>
      </c>
      <c r="B132" s="1" t="s">
        <v>393</v>
      </c>
      <c r="C132" t="s">
        <v>394</v>
      </c>
      <c r="D132" s="1">
        <v>1004440</v>
      </c>
      <c r="E132" s="4">
        <v>616.9</v>
      </c>
      <c r="F132" s="4">
        <v>280.58</v>
      </c>
      <c r="G132" s="4">
        <v>18.84</v>
      </c>
      <c r="H132" s="4">
        <v>0</v>
      </c>
      <c r="J132" s="4">
        <v>3.2</v>
      </c>
      <c r="K132" s="4">
        <v>5.92</v>
      </c>
      <c r="L132" s="10" t="s">
        <v>45</v>
      </c>
      <c r="M132" s="4">
        <v>632.5</v>
      </c>
      <c r="N132" s="4">
        <f>Tabela112[[#This Row],[VALOR PAGO]]+Tabela112[[#This Row],[JUROS PAGOS]]-Tabela112[[#This Row],[DESPESA]]-Tabela112[[#This Row],[HONORARIO]]</f>
        <v>629.29999999999995</v>
      </c>
      <c r="O132">
        <v>17</v>
      </c>
      <c r="P132">
        <v>25</v>
      </c>
      <c r="Q132" s="4">
        <v>4318.3</v>
      </c>
      <c r="R132" s="10" t="s">
        <v>395</v>
      </c>
      <c r="S132" t="s">
        <v>396</v>
      </c>
    </row>
    <row r="133" spans="1:19" x14ac:dyDescent="0.25">
      <c r="D133" s="1"/>
      <c r="N133" s="4">
        <f>SUBTOTAL(109,Tabela112[VALOR REPASSE])</f>
        <v>1199.1400000000001</v>
      </c>
    </row>
  </sheetData>
  <pageMargins left="0.511811024" right="0.511811024" top="0.78740157499999996" bottom="0.78740157499999996" header="0.31496062000000002" footer="0.31496062000000002"/>
  <pageSetup paperSize="9" scale="42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Nathalia Soares</dc:creator>
  <cp:lastModifiedBy>BM Finance</cp:lastModifiedBy>
  <cp:lastPrinted>2024-03-26T12:22:22Z</cp:lastPrinted>
  <dcterms:created xsi:type="dcterms:W3CDTF">2024-03-25T20:15:42Z</dcterms:created>
  <dcterms:modified xsi:type="dcterms:W3CDTF">2024-03-26T12:25:21Z</dcterms:modified>
</cp:coreProperties>
</file>